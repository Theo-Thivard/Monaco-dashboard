
<file path=[Content_Types].xml><?xml version="1.0" encoding="utf-8"?>
<Types xmlns="http://schemas.openxmlformats.org/package/2006/content-types">
  <Default Extension="bin" ContentType="application/vnd.openxmlformats-officedocument.spreadsheetml.printerSettings"/>
  <Default Extension="png" ContentType="image/png"/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drawings/drawing1.xml" ContentType="application/vnd.openxmlformats-officedocument.drawing+xml"/>
  <Override PartName="/xl/drawings/drawing2.xml" ContentType="application/vnd.openxmlformats-officedocument.drawing+xml"/>
  <Override PartName="/xl/charts/chart1.xml" ContentType="application/vnd.openxmlformats-officedocument.drawingml.chart+xml"/>
  <Override PartName="/xl/calcChain.xml" ContentType="application/vnd.openxmlformats-officedocument.spreadsheetml.calcChain+xml"/>
  <Override PartName="/customXml/itemProps1.xml" ContentType="application/vnd.openxmlformats-officedocument.customXmlProperties+xml"/>
  <Override PartName="/customXml/itemProps2.xml" ContentType="application/vnd.openxmlformats-officedocument.customXmlProperties+xml"/>
  <Override PartName="/customXml/itemProps3.xml" ContentType="application/vnd.openxmlformats-officedocument.customXmlProperties+xml"/>
  <Override PartName="/docProps/core.xml" ContentType="application/vnd.openxmlformats-package.core-properties+xml"/>
  <Override PartName="/docProps/app.xml" ContentType="application/vnd.openxmlformats-officedocument.extended-properties+xml"/>
  <Override PartName="/docProps/custom.xml" ContentType="application/vnd.openxmlformats-officedocument.custom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Relationship Id="rId4" Type="http://schemas.openxmlformats.org/officeDocument/2006/relationships/custom-properties" Target="docProps/custom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30326"/>
  <workbookPr/>
  <mc:AlternateContent xmlns:mc="http://schemas.openxmlformats.org/markup-compatibility/2006">
    <mc:Choice Requires="x15">
      <x15ac:absPath xmlns:x15ac="http://schemas.microsoft.com/office/spreadsheetml/2010/11/ac" url="https://rberger-my.sharepoint.com/personal/theo_thivard_rolandberger_com/Documents/Desktop/TMT/Dashboard/"/>
    </mc:Choice>
  </mc:AlternateContent>
  <xr:revisionPtr revIDLastSave="8" documentId="8_{F6B55F70-8E07-48DB-B0EA-E687927205DA}" xr6:coauthVersionLast="47" xr6:coauthVersionMax="47" xr10:uidLastSave="{5040891F-AF64-495E-B13D-80A6BAA8884D}"/>
  <bookViews>
    <workbookView xWindow="-108" yWindow="-108" windowWidth="23256" windowHeight="12456" activeTab="3" xr2:uid="{00000000-000D-0000-FFFF-FFFF00000000}"/>
  </bookViews>
  <sheets>
    <sheet name="Cover" sheetId="5" r:id="rId1"/>
    <sheet name="1_Inputs&amp;Hyp" sheetId="2" r:id="rId2"/>
    <sheet name="2_Calculs" sheetId="3" r:id="rId3"/>
    <sheet name="3_Output" sheetId="4" r:id="rId4"/>
  </sheets>
  <definedNames>
    <definedName name="____________a1" hidden="1">{TRUE,TRUE,-1.25,-15.5,772.5,492.75,FALSE,FALSE,TRUE,TRUE,0,1,4,1,57,3,5,4,TRUE,TRUE,3,TRUE,1,TRUE,100,"Swvu.Alles.","ACwvu.Alles.",#N/A,FALSE,FALSE,1.08,0.25,0.590551181102362,0.393700787401575,1,"","&amp;L&amp;6&amp;F / &amp;A / &amp;D",FALSE,FALSE,FALSE,FALSE,1,100,#N/A,#N/A,FALSE,FALSE,#N/A,#N/A,FALSE,FALSE,FALSE,9,65532,65532,FALSE,FALSE,TRUE,TRUE,TRUE}</definedName>
    <definedName name="____________a1_1" hidden="1">{TRUE,TRUE,-1.25,-15.5,772.5,492.75,FALSE,FALSE,TRUE,TRUE,0,1,4,1,57,3,5,4,TRUE,TRUE,3,TRUE,1,TRUE,100,"Swvu.Alles.","ACwvu.Alles.",#N/A,FALSE,FALSE,1.08,0.25,0.590551181102362,0.393700787401575,1,"","&amp;L&amp;6&amp;F / &amp;A / &amp;D",FALSE,FALSE,FALSE,FALSE,1,100,#N/A,#N/A,FALSE,FALSE,#N/A,#N/A,FALSE,FALSE,FALSE,9,65532,65532,FALSE,FALSE,TRUE,TRUE,TRUE}</definedName>
    <definedName name="____________a2" hidden="1">{TRUE,TRUE,-1.25,-15.5,772.5,492.75,FALSE,FALSE,TRUE,TRUE,0,1,4,1,57,3,5,4,TRUE,TRUE,3,TRUE,1,TRUE,100,"Swvu.Budget_1996.","ACwvu.Budget_1996.",#N/A,FALSE,FALSE,1.08,0.25,0.590551181102362,0.393700787401575,1,"","&amp;L&amp;6&amp;F / &amp;A / &amp;D",FALSE,FALSE,FALSE,FALSE,1,100,#N/A,#N/A,FALSE,FALSE,"Rwvu.Budget_1996.",#N/A,FALSE,FALSE,FALSE,9,65532,65532,FALSE,FALSE,TRUE,TRUE,TRUE}</definedName>
    <definedName name="____________a2_1" hidden="1">{TRUE,TRUE,-1.25,-15.5,772.5,492.75,FALSE,FALSE,TRUE,TRUE,0,1,4,1,57,3,5,4,TRUE,TRUE,3,TRUE,1,TRUE,100,"Swvu.Budget_1996.","ACwvu.Budget_1996.",#N/A,FALSE,FALSE,1.08,0.25,0.590551181102362,0.393700787401575,1,"","&amp;L&amp;6&amp;F / &amp;A / &amp;D",FALSE,FALSE,FALSE,FALSE,1,100,#N/A,#N/A,FALSE,FALSE,"Rwvu.Budget_1996.",#N/A,FALSE,FALSE,FALSE,9,65532,65532,FALSE,FALSE,TRUE,TRUE,TRUE}</definedName>
    <definedName name="____________a3" hidden="1">{TRUE,TRUE,-1.25,-15.5,772.5,492.75,FALSE,FALSE,TRUE,TRUE,0,1,4,1,57,3,5,4,TRUE,TRUE,3,TRUE,1,TRUE,100,"Swvu.Budget_1997.","ACwvu.Budget_1997.",#N/A,FALSE,FALSE,1.08,0.25,0.590551181102362,0.393700787401575,1,"","&amp;L&amp;6&amp;F / &amp;A / &amp;D",FALSE,FALSE,FALSE,FALSE,1,100,#N/A,#N/A,FALSE,FALSE,"Rwvu.Budget_1997.",#N/A,FALSE,FALSE,FALSE,9,65532,65532,FALSE,FALSE,TRUE,TRUE,TRUE}</definedName>
    <definedName name="____________a3_1" hidden="1">{TRUE,TRUE,-1.25,-15.5,772.5,492.75,FALSE,FALSE,TRUE,TRUE,0,1,4,1,57,3,5,4,TRUE,TRUE,3,TRUE,1,TRUE,100,"Swvu.Budget_1997.","ACwvu.Budget_1997.",#N/A,FALSE,FALSE,1.08,0.25,0.590551181102362,0.393700787401575,1,"","&amp;L&amp;6&amp;F / &amp;A / &amp;D",FALSE,FALSE,FALSE,FALSE,1,100,#N/A,#N/A,FALSE,FALSE,"Rwvu.Budget_1997.",#N/A,FALSE,FALSE,FALSE,9,65532,65532,FALSE,FALSE,TRUE,TRUE,TRUE}</definedName>
    <definedName name="____________a4" hidden="1">{TRUE,TRUE,-1.25,-15.5,772.5,492.75,FALSE,TRUE,TRUE,TRUE,0,1,#N/A,1,#N/A,12.7125,22.0869565217391,1,FALSE,FALSE,3,TRUE,1,FALSE,100,"Swvu.Ergebnisüberleitung.","ACwvu.Ergebnisüberleitung.",#N/A,FALSE,FALSE,0.78740157480315,0.78740157480315,0.590551181102362,0.393700787401575,1,"","&amp;L&amp;""Arial,Kursiv""&amp;6&amp;F / &amp;A / &amp;D",FALSE,FALSE,FALSE,FALSE,1,100,#N/A,#N/A,"=R1C1:R39C8",FALSE,"Rwvu.Ergebnisüberleitung.",#N/A,FALSE,FALSE,TRUE,9,65532,65532,FALSE,FALSE,TRUE,TRUE,TRUE}</definedName>
    <definedName name="____________a4_1" hidden="1">{TRUE,TRUE,-1.25,-15.5,772.5,492.75,FALSE,TRUE,TRUE,TRUE,0,1,#N/A,1,#N/A,12.7125,22.0869565217391,1,FALSE,FALSE,3,TRUE,1,FALSE,100,"Swvu.Ergebnisüberleitung.","ACwvu.Ergebnisüberleitung.",#N/A,FALSE,FALSE,0.78740157480315,0.78740157480315,0.590551181102362,0.393700787401575,1,"","&amp;L&amp;""Arial,Kursiv""&amp;6&amp;F / &amp;A / &amp;D",FALSE,FALSE,FALSE,FALSE,1,100,#N/A,#N/A,"=R1C1:R39C8",FALSE,"Rwvu.Ergebnisüberleitung.",#N/A,FALSE,FALSE,TRUE,9,65532,65532,FALSE,FALSE,TRUE,TRUE,TRUE}</definedName>
    <definedName name="____________a5" hidden="1">{TRUE,TRUE,-1.25,-15.5,772.5,492.75,FALSE,TRUE,TRUE,TRUE,0,1,#N/A,1,#N/A,12.65,22.0869565217391,1,FALSE,FALSE,3,TRUE,1,FALSE,100,"Swvu.FC_10_Details.","ACwvu.FC_10_Details.",#N/A,FALSE,FALSE,0.78740157480315,0.78740157480315,0.590551181102362,0.393700787401575,1,"","&amp;L&amp;""Arial,Kursiv""&amp;6&amp;F / &amp;A / &amp;D",FALSE,FALSE,FALSE,FALSE,1,100,#N/A,#N/A,"=R1C1:R39C8",FALSE,#N/A,#N/A,FALSE,FALSE,FALSE,9,65532,65532,FALSE,FALSE,TRUE,TRUE,TRUE}</definedName>
    <definedName name="____________a5_1" hidden="1">{TRUE,TRUE,-1.25,-15.5,772.5,492.75,FALSE,TRUE,TRUE,TRUE,0,1,#N/A,1,#N/A,12.65,22.0869565217391,1,FALSE,FALSE,3,TRUE,1,FALSE,100,"Swvu.FC_10_Details.","ACwvu.FC_10_Details.",#N/A,FALSE,FALSE,0.78740157480315,0.78740157480315,0.590551181102362,0.393700787401575,1,"","&amp;L&amp;""Arial,Kursiv""&amp;6&amp;F / &amp;A / &amp;D",FALSE,FALSE,FALSE,FALSE,1,100,#N/A,#N/A,"=R1C1:R39C8",FALSE,#N/A,#N/A,FALSE,FALSE,FALSE,9,65532,65532,FALSE,FALSE,TRUE,TRUE,TRUE}</definedName>
    <definedName name="____________art4" hidden="1">{TRUE,TRUE,-1.25,-15.5,772.5,492.75,FALSE,TRUE,TRUE,TRUE,0,1,#N/A,1,#N/A,12.7125,22.0869565217391,1,FALSE,FALSE,3,TRUE,1,FALSE,100,"Swvu.Ergebnisüberleitung.","ACwvu.Ergebnisüberleitung.",#N/A,FALSE,FALSE,0.78740157480315,0.78740157480315,0.590551181102362,0.393700787401575,1,"","&amp;L&amp;""Arial,Kursiv""&amp;6&amp;F / &amp;A / &amp;D",FALSE,FALSE,FALSE,FALSE,1,100,#N/A,#N/A,"=R1C1:R39C8",FALSE,"Rwvu.Ergebnisüberleitung.",#N/A,FALSE,FALSE,TRUE,9,65532,65532,FALSE,FALSE,TRUE,TRUE,TRUE}</definedName>
    <definedName name="____________art4_1" hidden="1">{TRUE,TRUE,-1.25,-15.5,772.5,492.75,FALSE,TRUE,TRUE,TRUE,0,1,#N/A,1,#N/A,12.7125,22.0869565217391,1,FALSE,FALSE,3,TRUE,1,FALSE,100,"Swvu.Ergebnisüberleitung.","ACwvu.Ergebnisüberleitung.",#N/A,FALSE,FALSE,0.78740157480315,0.78740157480315,0.590551181102362,0.393700787401575,1,"","&amp;L&amp;""Arial,Kursiv""&amp;6&amp;F / &amp;A / &amp;D",FALSE,FALSE,FALSE,FALSE,1,100,#N/A,#N/A,"=R1C1:R39C8",FALSE,"Rwvu.Ergebnisüberleitung.",#N/A,FALSE,FALSE,TRUE,9,65532,65532,FALSE,FALSE,TRUE,TRUE,TRUE}</definedName>
    <definedName name="____________c" hidden="1">{TRUE,TRUE,-1.25,-15.5,772.5,492.75,FALSE,FALSE,TRUE,TRUE,0,1,4,1,57,3,5,4,TRUE,TRUE,3,TRUE,1,TRUE,100,"Swvu.Budget_1997.","ACwvu.Budget_1997.",#N/A,FALSE,FALSE,1.08,0.25,0.590551181102362,0.393700787401575,1,"","&amp;L&amp;6&amp;F / &amp;A / &amp;D",FALSE,FALSE,FALSE,FALSE,1,100,#N/A,#N/A,FALSE,FALSE,"Rwvu.Budget_1997.",#N/A,FALSE,FALSE,FALSE,9,65532,65532,FALSE,FALSE,TRUE,TRUE,TRUE}</definedName>
    <definedName name="____________c_1" hidden="1">{TRUE,TRUE,-1.25,-15.5,772.5,492.75,FALSE,FALSE,TRUE,TRUE,0,1,4,1,57,3,5,4,TRUE,TRUE,3,TRUE,1,TRUE,100,"Swvu.Budget_1997.","ACwvu.Budget_1997.",#N/A,FALSE,FALSE,1.08,0.25,0.590551181102362,0.393700787401575,1,"","&amp;L&amp;6&amp;F / &amp;A / &amp;D",FALSE,FALSE,FALSE,FALSE,1,100,#N/A,#N/A,FALSE,FALSE,"Rwvu.Budget_1997.",#N/A,FALSE,FALSE,FALSE,9,65532,65532,FALSE,FALSE,TRUE,TRUE,TRUE}</definedName>
    <definedName name="____________d1" hidden="1">{#N/A,#N/A,FALSE,"bel";#N/A,#N/A,FALSE,"neth"}</definedName>
    <definedName name="____________d1_1" hidden="1">{#N/A,#N/A,FALSE,"bel";#N/A,#N/A,FALSE,"neth"}</definedName>
    <definedName name="____________q1" hidden="1">{TRUE,TRUE,-1.25,-15.5,772.5,492.75,FALSE,TRUE,TRUE,TRUE,0,1,#N/A,1,#N/A,12.65,22.0869565217391,1,FALSE,FALSE,3,TRUE,1,FALSE,100,"Swvu.FC_10_Details.","ACwvu.FC_10_Details.",#N/A,FALSE,FALSE,0.78740157480315,0.78740157480315,0.590551181102362,0.393700787401575,1,"","&amp;L&amp;""Arial,Kursiv""&amp;6&amp;F / &amp;A / &amp;D",FALSE,FALSE,FALSE,FALSE,1,100,#N/A,#N/A,"=R1C1:R39C8",FALSE,#N/A,#N/A,FALSE,FALSE,FALSE,9,65532,65532,FALSE,FALSE,TRUE,TRUE,TRUE}</definedName>
    <definedName name="____________q1_1" hidden="1">{TRUE,TRUE,-1.25,-15.5,772.5,492.75,FALSE,TRUE,TRUE,TRUE,0,1,#N/A,1,#N/A,12.65,22.0869565217391,1,FALSE,FALSE,3,TRUE,1,FALSE,100,"Swvu.FC_10_Details.","ACwvu.FC_10_Details.",#N/A,FALSE,FALSE,0.78740157480315,0.78740157480315,0.590551181102362,0.393700787401575,1,"","&amp;L&amp;""Arial,Kursiv""&amp;6&amp;F / &amp;A / &amp;D",FALSE,FALSE,FALSE,FALSE,1,100,#N/A,#N/A,"=R1C1:R39C8",FALSE,#N/A,#N/A,FALSE,FALSE,FALSE,9,65532,65532,FALSE,FALSE,TRUE,TRUE,TRUE}</definedName>
    <definedName name="____________r78ri" hidden="1">{TRUE,TRUE,-1.25,-15.5,772.5,492.75,FALSE,FALSE,TRUE,TRUE,0,1,4,1,57,3,5,4,TRUE,TRUE,3,TRUE,1,TRUE,100,"Swvu.Budget_1997.","ACwvu.Budget_1997.",#N/A,FALSE,FALSE,1.08,0.25,0.590551181102362,0.393700787401575,1,"","&amp;L&amp;6&amp;F / &amp;A / &amp;D",FALSE,FALSE,FALSE,FALSE,1,100,#N/A,#N/A,FALSE,FALSE,"Rwvu.Budget_1997.",#N/A,FALSE,FALSE,FALSE,9,65532,65532,FALSE,FALSE,TRUE,TRUE,TRUE}</definedName>
    <definedName name="____________r78ri_1" hidden="1">{TRUE,TRUE,-1.25,-15.5,772.5,492.75,FALSE,FALSE,TRUE,TRUE,0,1,4,1,57,3,5,4,TRUE,TRUE,3,TRUE,1,TRUE,100,"Swvu.Budget_1997.","ACwvu.Budget_1997.",#N/A,FALSE,FALSE,1.08,0.25,0.590551181102362,0.393700787401575,1,"","&amp;L&amp;6&amp;F / &amp;A / &amp;D",FALSE,FALSE,FALSE,FALSE,1,100,#N/A,#N/A,FALSE,FALSE,"Rwvu.Budget_1997.",#N/A,FALSE,FALSE,FALSE,9,65532,65532,FALSE,FALSE,TRUE,TRUE,TRUE}</definedName>
    <definedName name="____________r7irro" hidden="1">{TRUE,TRUE,-1.25,-15.5,772.5,492.75,FALSE,TRUE,TRUE,TRUE,0,1,#N/A,1,#N/A,12.7125,22.0869565217391,1,FALSE,FALSE,3,TRUE,1,FALSE,100,"Swvu.Ergebnisüberleitung.","ACwvu.Ergebnisüberleitung.",#N/A,FALSE,FALSE,0.78740157480315,0.78740157480315,0.590551181102362,0.393700787401575,1,"","&amp;L&amp;""Arial,Kursiv""&amp;6&amp;F / &amp;A / &amp;D",FALSE,FALSE,FALSE,FALSE,1,100,#N/A,#N/A,"=R1C1:R39C8",FALSE,"Rwvu.Ergebnisüberleitung.",#N/A,FALSE,FALSE,TRUE,9,65532,65532,FALSE,FALSE,TRUE,TRUE,TRUE}</definedName>
    <definedName name="____________r7irro_1" hidden="1">{TRUE,TRUE,-1.25,-15.5,772.5,492.75,FALSE,TRUE,TRUE,TRUE,0,1,#N/A,1,#N/A,12.7125,22.0869565217391,1,FALSE,FALSE,3,TRUE,1,FALSE,100,"Swvu.Ergebnisüberleitung.","ACwvu.Ergebnisüberleitung.",#N/A,FALSE,FALSE,0.78740157480315,0.78740157480315,0.590551181102362,0.393700787401575,1,"","&amp;L&amp;""Arial,Kursiv""&amp;6&amp;F / &amp;A / &amp;D",FALSE,FALSE,FALSE,FALSE,1,100,#N/A,#N/A,"=R1C1:R39C8",FALSE,"Rwvu.Ergebnisüberleitung.",#N/A,FALSE,FALSE,TRUE,9,65532,65532,FALSE,FALSE,TRUE,TRUE,TRUE}</definedName>
    <definedName name="____________wr4" hidden="1">{TRUE,TRUE,-1.25,-15.5,772.5,492.75,FALSE,FALSE,TRUE,TRUE,0,1,4,1,57,3,5,4,TRUE,TRUE,3,TRUE,1,TRUE,100,"Swvu.Budget_1996.","ACwvu.Budget_1996.",#N/A,FALSE,FALSE,1.08,0.25,0.590551181102362,0.393700787401575,1,"","&amp;L&amp;6&amp;F / &amp;A / &amp;D",FALSE,FALSE,FALSE,FALSE,1,100,#N/A,#N/A,FALSE,FALSE,"Rwvu.Budget_1996.",#N/A,FALSE,FALSE,FALSE,9,65532,65532,FALSE,FALSE,TRUE,TRUE,TRUE}</definedName>
    <definedName name="____________wr4_1" hidden="1">{TRUE,TRUE,-1.25,-15.5,772.5,492.75,FALSE,FALSE,TRUE,TRUE,0,1,4,1,57,3,5,4,TRUE,TRUE,3,TRUE,1,TRUE,100,"Swvu.Budget_1996.","ACwvu.Budget_1996.",#N/A,FALSE,FALSE,1.08,0.25,0.590551181102362,0.393700787401575,1,"","&amp;L&amp;6&amp;F / &amp;A / &amp;D",FALSE,FALSE,FALSE,FALSE,1,100,#N/A,#N/A,FALSE,FALSE,"Rwvu.Budget_1996.",#N/A,FALSE,FALSE,FALSE,9,65532,65532,FALSE,FALSE,TRUE,TRUE,TRUE}</definedName>
    <definedName name="___________o1" hidden="1">{TRUE,TRUE,-1.25,-15.5,772.5,492.75,FALSE,FALSE,TRUE,TRUE,0,1,4,1,57,3,5,4,TRUE,TRUE,3,TRUE,1,TRUE,100,"Swvu.Alles.","ACwvu.Alles.",#N/A,FALSE,FALSE,1.08,0.25,0.590551181102362,0.393700787401575,1,"","&amp;L&amp;6&amp;F / &amp;A / &amp;D",FALSE,FALSE,FALSE,FALSE,1,100,#N/A,#N/A,FALSE,FALSE,#N/A,#N/A,FALSE,FALSE,FALSE,9,65532,65532,FALSE,FALSE,TRUE,TRUE,TRUE}</definedName>
    <definedName name="___________o1_1" hidden="1">{TRUE,TRUE,-1.25,-15.5,772.5,492.75,FALSE,FALSE,TRUE,TRUE,0,1,4,1,57,3,5,4,TRUE,TRUE,3,TRUE,1,TRUE,100,"Swvu.Alles.","ACwvu.Alles.",#N/A,FALSE,FALSE,1.08,0.25,0.590551181102362,0.393700787401575,1,"","&amp;L&amp;6&amp;F / &amp;A / &amp;D",FALSE,FALSE,FALSE,FALSE,1,100,#N/A,#N/A,FALSE,FALSE,#N/A,#N/A,FALSE,FALSE,FALSE,9,65532,65532,FALSE,FALSE,TRUE,TRUE,TRUE}</definedName>
    <definedName name="______a1" hidden="1">{TRUE,TRUE,-1.25,-15.5,772.5,492.75,FALSE,FALSE,TRUE,TRUE,0,1,4,1,57,3,5,4,TRUE,TRUE,3,TRUE,1,TRUE,100,"Swvu.Alles.","ACwvu.Alles.",#N/A,FALSE,FALSE,1.08,0.25,0.590551181102362,0.393700787401575,1,"","&amp;L&amp;6&amp;F / &amp;A / &amp;D",FALSE,FALSE,FALSE,FALSE,1,100,#N/A,#N/A,FALSE,FALSE,#N/A,#N/A,FALSE,FALSE,FALSE,9,65532,65532,FALSE,FALSE,TRUE,TRUE,TRUE}</definedName>
    <definedName name="______a1_1" hidden="1">{TRUE,TRUE,-1.25,-15.5,772.5,492.75,FALSE,FALSE,TRUE,TRUE,0,1,4,1,57,3,5,4,TRUE,TRUE,3,TRUE,1,TRUE,100,"Swvu.Alles.","ACwvu.Alles.",#N/A,FALSE,FALSE,1.08,0.25,0.590551181102362,0.393700787401575,1,"","&amp;L&amp;6&amp;F / &amp;A / &amp;D",FALSE,FALSE,FALSE,FALSE,1,100,#N/A,#N/A,FALSE,FALSE,#N/A,#N/A,FALSE,FALSE,FALSE,9,65532,65532,FALSE,FALSE,TRUE,TRUE,TRUE}</definedName>
    <definedName name="______a2" hidden="1">{TRUE,TRUE,-1.25,-15.5,772.5,492.75,FALSE,FALSE,TRUE,TRUE,0,1,4,1,57,3,5,4,TRUE,TRUE,3,TRUE,1,TRUE,100,"Swvu.Budget_1996.","ACwvu.Budget_1996.",#N/A,FALSE,FALSE,1.08,0.25,0.590551181102362,0.393700787401575,1,"","&amp;L&amp;6&amp;F / &amp;A / &amp;D",FALSE,FALSE,FALSE,FALSE,1,100,#N/A,#N/A,FALSE,FALSE,"Rwvu.Budget_1996.",#N/A,FALSE,FALSE,FALSE,9,65532,65532,FALSE,FALSE,TRUE,TRUE,TRUE}</definedName>
    <definedName name="______a2_1" hidden="1">{TRUE,TRUE,-1.25,-15.5,772.5,492.75,FALSE,FALSE,TRUE,TRUE,0,1,4,1,57,3,5,4,TRUE,TRUE,3,TRUE,1,TRUE,100,"Swvu.Budget_1996.","ACwvu.Budget_1996.",#N/A,FALSE,FALSE,1.08,0.25,0.590551181102362,0.393700787401575,1,"","&amp;L&amp;6&amp;F / &amp;A / &amp;D",FALSE,FALSE,FALSE,FALSE,1,100,#N/A,#N/A,FALSE,FALSE,"Rwvu.Budget_1996.",#N/A,FALSE,FALSE,FALSE,9,65532,65532,FALSE,FALSE,TRUE,TRUE,TRUE}</definedName>
    <definedName name="______a3" hidden="1">{TRUE,TRUE,-1.25,-15.5,772.5,492.75,FALSE,FALSE,TRUE,TRUE,0,1,4,1,57,3,5,4,TRUE,TRUE,3,TRUE,1,TRUE,100,"Swvu.Budget_1997.","ACwvu.Budget_1997.",#N/A,FALSE,FALSE,1.08,0.25,0.590551181102362,0.393700787401575,1,"","&amp;L&amp;6&amp;F / &amp;A / &amp;D",FALSE,FALSE,FALSE,FALSE,1,100,#N/A,#N/A,FALSE,FALSE,"Rwvu.Budget_1997.",#N/A,FALSE,FALSE,FALSE,9,65532,65532,FALSE,FALSE,TRUE,TRUE,TRUE}</definedName>
    <definedName name="______a3_1" hidden="1">{TRUE,TRUE,-1.25,-15.5,772.5,492.75,FALSE,FALSE,TRUE,TRUE,0,1,4,1,57,3,5,4,TRUE,TRUE,3,TRUE,1,TRUE,100,"Swvu.Budget_1997.","ACwvu.Budget_1997.",#N/A,FALSE,FALSE,1.08,0.25,0.590551181102362,0.393700787401575,1,"","&amp;L&amp;6&amp;F / &amp;A / &amp;D",FALSE,FALSE,FALSE,FALSE,1,100,#N/A,#N/A,FALSE,FALSE,"Rwvu.Budget_1997.",#N/A,FALSE,FALSE,FALSE,9,65532,65532,FALSE,FALSE,TRUE,TRUE,TRUE}</definedName>
    <definedName name="______a4" hidden="1">{TRUE,TRUE,-1.25,-15.5,772.5,492.75,FALSE,TRUE,TRUE,TRUE,0,1,#N/A,1,#N/A,12.7125,22.0869565217391,1,FALSE,FALSE,3,TRUE,1,FALSE,100,"Swvu.Ergebnisüberleitung.","ACwvu.Ergebnisüberleitung.",#N/A,FALSE,FALSE,0.78740157480315,0.78740157480315,0.590551181102362,0.393700787401575,1,"","&amp;L&amp;""Arial,Kursiv""&amp;6&amp;F / &amp;A / &amp;D",FALSE,FALSE,FALSE,FALSE,1,100,#N/A,#N/A,"=R1C1:R39C8",FALSE,"Rwvu.Ergebnisüberleitung.",#N/A,FALSE,FALSE,TRUE,9,65532,65532,FALSE,FALSE,TRUE,TRUE,TRUE}</definedName>
    <definedName name="______a4_1" hidden="1">{TRUE,TRUE,-1.25,-15.5,772.5,492.75,FALSE,TRUE,TRUE,TRUE,0,1,#N/A,1,#N/A,12.7125,22.0869565217391,1,FALSE,FALSE,3,TRUE,1,FALSE,100,"Swvu.Ergebnisüberleitung.","ACwvu.Ergebnisüberleitung.",#N/A,FALSE,FALSE,0.78740157480315,0.78740157480315,0.590551181102362,0.393700787401575,1,"","&amp;L&amp;""Arial,Kursiv""&amp;6&amp;F / &amp;A / &amp;D",FALSE,FALSE,FALSE,FALSE,1,100,#N/A,#N/A,"=R1C1:R39C8",FALSE,"Rwvu.Ergebnisüberleitung.",#N/A,FALSE,FALSE,TRUE,9,65532,65532,FALSE,FALSE,TRUE,TRUE,TRUE}</definedName>
    <definedName name="______a5" hidden="1">{TRUE,TRUE,-1.25,-15.5,772.5,492.75,FALSE,TRUE,TRUE,TRUE,0,1,#N/A,1,#N/A,12.65,22.0869565217391,1,FALSE,FALSE,3,TRUE,1,FALSE,100,"Swvu.FC_10_Details.","ACwvu.FC_10_Details.",#N/A,FALSE,FALSE,0.78740157480315,0.78740157480315,0.590551181102362,0.393700787401575,1,"","&amp;L&amp;""Arial,Kursiv""&amp;6&amp;F / &amp;A / &amp;D",FALSE,FALSE,FALSE,FALSE,1,100,#N/A,#N/A,"=R1C1:R39C8",FALSE,#N/A,#N/A,FALSE,FALSE,FALSE,9,65532,65532,FALSE,FALSE,TRUE,TRUE,TRUE}</definedName>
    <definedName name="______a5_1" hidden="1">{TRUE,TRUE,-1.25,-15.5,772.5,492.75,FALSE,TRUE,TRUE,TRUE,0,1,#N/A,1,#N/A,12.65,22.0869565217391,1,FALSE,FALSE,3,TRUE,1,FALSE,100,"Swvu.FC_10_Details.","ACwvu.FC_10_Details.",#N/A,FALSE,FALSE,0.78740157480315,0.78740157480315,0.590551181102362,0.393700787401575,1,"","&amp;L&amp;""Arial,Kursiv""&amp;6&amp;F / &amp;A / &amp;D",FALSE,FALSE,FALSE,FALSE,1,100,#N/A,#N/A,"=R1C1:R39C8",FALSE,#N/A,#N/A,FALSE,FALSE,FALSE,9,65532,65532,FALSE,FALSE,TRUE,TRUE,TRUE}</definedName>
    <definedName name="______c" hidden="1">{TRUE,TRUE,-1.25,-15.5,772.5,492.75,FALSE,FALSE,TRUE,TRUE,0,1,4,1,57,3,5,4,TRUE,TRUE,3,TRUE,1,TRUE,100,"Swvu.Budget_1997.","ACwvu.Budget_1997.",#N/A,FALSE,FALSE,1.08,0.25,0.590551181102362,0.393700787401575,1,"","&amp;L&amp;6&amp;F / &amp;A / &amp;D",FALSE,FALSE,FALSE,FALSE,1,100,#N/A,#N/A,FALSE,FALSE,"Rwvu.Budget_1997.",#N/A,FALSE,FALSE,FALSE,9,65532,65532,FALSE,FALSE,TRUE,TRUE,TRUE}</definedName>
    <definedName name="______c_1" hidden="1">{TRUE,TRUE,-1.25,-15.5,772.5,492.75,FALSE,FALSE,TRUE,TRUE,0,1,4,1,57,3,5,4,TRUE,TRUE,3,TRUE,1,TRUE,100,"Swvu.Budget_1997.","ACwvu.Budget_1997.",#N/A,FALSE,FALSE,1.08,0.25,0.590551181102362,0.393700787401575,1,"","&amp;L&amp;6&amp;F / &amp;A / &amp;D",FALSE,FALSE,FALSE,FALSE,1,100,#N/A,#N/A,FALSE,FALSE,"Rwvu.Budget_1997.",#N/A,FALSE,FALSE,FALSE,9,65532,65532,FALSE,FALSE,TRUE,TRUE,TRUE}</definedName>
    <definedName name="______d1" hidden="1">{#N/A,#N/A,FALSE,"bel";#N/A,#N/A,FALSE,"neth"}</definedName>
    <definedName name="______d1_1" hidden="1">{#N/A,#N/A,FALSE,"bel";#N/A,#N/A,FALSE,"neth"}</definedName>
    <definedName name="______q1" hidden="1">{TRUE,TRUE,-1.25,-15.5,772.5,492.75,FALSE,TRUE,TRUE,TRUE,0,1,#N/A,1,#N/A,12.65,22.0869565217391,1,FALSE,FALSE,3,TRUE,1,FALSE,100,"Swvu.FC_10_Details.","ACwvu.FC_10_Details.",#N/A,FALSE,FALSE,0.78740157480315,0.78740157480315,0.590551181102362,0.393700787401575,1,"","&amp;L&amp;""Arial,Kursiv""&amp;6&amp;F / &amp;A / &amp;D",FALSE,FALSE,FALSE,FALSE,1,100,#N/A,#N/A,"=R1C1:R39C8",FALSE,#N/A,#N/A,FALSE,FALSE,FALSE,9,65532,65532,FALSE,FALSE,TRUE,TRUE,TRUE}</definedName>
    <definedName name="______q1_1" hidden="1">{TRUE,TRUE,-1.25,-15.5,772.5,492.75,FALSE,TRUE,TRUE,TRUE,0,1,#N/A,1,#N/A,12.65,22.0869565217391,1,FALSE,FALSE,3,TRUE,1,FALSE,100,"Swvu.FC_10_Details.","ACwvu.FC_10_Details.",#N/A,FALSE,FALSE,0.78740157480315,0.78740157480315,0.590551181102362,0.393700787401575,1,"","&amp;L&amp;""Arial,Kursiv""&amp;6&amp;F / &amp;A / &amp;D",FALSE,FALSE,FALSE,FALSE,1,100,#N/A,#N/A,"=R1C1:R39C8",FALSE,#N/A,#N/A,FALSE,FALSE,FALSE,9,65532,65532,FALSE,FALSE,TRUE,TRUE,TRUE}</definedName>
    <definedName name="______r78ri" hidden="1">{TRUE,TRUE,-1.25,-15.5,772.5,492.75,FALSE,FALSE,TRUE,TRUE,0,1,4,1,57,3,5,4,TRUE,TRUE,3,TRUE,1,TRUE,100,"Swvu.Budget_1997.","ACwvu.Budget_1997.",#N/A,FALSE,FALSE,1.08,0.25,0.590551181102362,0.393700787401575,1,"","&amp;L&amp;6&amp;F / &amp;A / &amp;D",FALSE,FALSE,FALSE,FALSE,1,100,#N/A,#N/A,FALSE,FALSE,"Rwvu.Budget_1997.",#N/A,FALSE,FALSE,FALSE,9,65532,65532,FALSE,FALSE,TRUE,TRUE,TRUE}</definedName>
    <definedName name="______r78ri_1" hidden="1">{TRUE,TRUE,-1.25,-15.5,772.5,492.75,FALSE,FALSE,TRUE,TRUE,0,1,4,1,57,3,5,4,TRUE,TRUE,3,TRUE,1,TRUE,100,"Swvu.Budget_1997.","ACwvu.Budget_1997.",#N/A,FALSE,FALSE,1.08,0.25,0.590551181102362,0.393700787401575,1,"","&amp;L&amp;6&amp;F / &amp;A / &amp;D",FALSE,FALSE,FALSE,FALSE,1,100,#N/A,#N/A,FALSE,FALSE,"Rwvu.Budget_1997.",#N/A,FALSE,FALSE,FALSE,9,65532,65532,FALSE,FALSE,TRUE,TRUE,TRUE}</definedName>
    <definedName name="______r7irro" hidden="1">{TRUE,TRUE,-1.25,-15.5,772.5,492.75,FALSE,TRUE,TRUE,TRUE,0,1,#N/A,1,#N/A,12.7125,22.0869565217391,1,FALSE,FALSE,3,TRUE,1,FALSE,100,"Swvu.Ergebnisüberleitung.","ACwvu.Ergebnisüberleitung.",#N/A,FALSE,FALSE,0.78740157480315,0.78740157480315,0.590551181102362,0.393700787401575,1,"","&amp;L&amp;""Arial,Kursiv""&amp;6&amp;F / &amp;A / &amp;D",FALSE,FALSE,FALSE,FALSE,1,100,#N/A,#N/A,"=R1C1:R39C8",FALSE,"Rwvu.Ergebnisüberleitung.",#N/A,FALSE,FALSE,TRUE,9,65532,65532,FALSE,FALSE,TRUE,TRUE,TRUE}</definedName>
    <definedName name="______r7irro_1" hidden="1">{TRUE,TRUE,-1.25,-15.5,772.5,492.75,FALSE,TRUE,TRUE,TRUE,0,1,#N/A,1,#N/A,12.7125,22.0869565217391,1,FALSE,FALSE,3,TRUE,1,FALSE,100,"Swvu.Ergebnisüberleitung.","ACwvu.Ergebnisüberleitung.",#N/A,FALSE,FALSE,0.78740157480315,0.78740157480315,0.590551181102362,0.393700787401575,1,"","&amp;L&amp;""Arial,Kursiv""&amp;6&amp;F / &amp;A / &amp;D",FALSE,FALSE,FALSE,FALSE,1,100,#N/A,#N/A,"=R1C1:R39C8",FALSE,"Rwvu.Ergebnisüberleitung.",#N/A,FALSE,FALSE,TRUE,9,65532,65532,FALSE,FALSE,TRUE,TRUE,TRUE}</definedName>
    <definedName name="______wr4" hidden="1">{TRUE,TRUE,-1.25,-15.5,772.5,492.75,FALSE,FALSE,TRUE,TRUE,0,1,4,1,57,3,5,4,TRUE,TRUE,3,TRUE,1,TRUE,100,"Swvu.Budget_1996.","ACwvu.Budget_1996.",#N/A,FALSE,FALSE,1.08,0.25,0.590551181102362,0.393700787401575,1,"","&amp;L&amp;6&amp;F / &amp;A / &amp;D",FALSE,FALSE,FALSE,FALSE,1,100,#N/A,#N/A,FALSE,FALSE,"Rwvu.Budget_1996.",#N/A,FALSE,FALSE,FALSE,9,65532,65532,FALSE,FALSE,TRUE,TRUE,TRUE}</definedName>
    <definedName name="______wr4_1" hidden="1">{TRUE,TRUE,-1.25,-15.5,772.5,492.75,FALSE,FALSE,TRUE,TRUE,0,1,4,1,57,3,5,4,TRUE,TRUE,3,TRUE,1,TRUE,100,"Swvu.Budget_1996.","ACwvu.Budget_1996.",#N/A,FALSE,FALSE,1.08,0.25,0.590551181102362,0.393700787401575,1,"","&amp;L&amp;6&amp;F / &amp;A / &amp;D",FALSE,FALSE,FALSE,FALSE,1,100,#N/A,#N/A,FALSE,FALSE,"Rwvu.Budget_1996.",#N/A,FALSE,FALSE,FALSE,9,65532,65532,FALSE,FALSE,TRUE,TRUE,TRUE}</definedName>
    <definedName name="_____a1" hidden="1">{"mgmt forecast",#N/A,FALSE,"Mgmt Forecast";"dcf table",#N/A,FALSE,"Mgmt Forecast";"sensitivity",#N/A,FALSE,"Mgmt Forecast";"table inputs",#N/A,FALSE,"Mgmt Forecast";"calculations",#N/A,FALSE,"Mgmt Forecast"}</definedName>
    <definedName name="_____a2" hidden="1">{"mgmt forecast",#N/A,FALSE,"Mgmt Forecast";"dcf table",#N/A,FALSE,"Mgmt Forecast";"sensitivity",#N/A,FALSE,"Mgmt Forecast";"table inputs",#N/A,FALSE,"Mgmt Forecast";"calculations",#N/A,FALSE,"Mgmt Forecast"}</definedName>
    <definedName name="_____art4" hidden="1">{TRUE,TRUE,-1.25,-15.5,772.5,492.75,FALSE,TRUE,TRUE,TRUE,0,1,#N/A,1,#N/A,12.7125,22.0869565217391,1,FALSE,FALSE,3,TRUE,1,FALSE,100,"Swvu.Ergebnisüberleitung.","ACwvu.Ergebnisüberleitung.",#N/A,FALSE,FALSE,0.78740157480315,0.78740157480315,0.590551181102362,0.393700787401575,1,"","&amp;L&amp;""Arial,Kursiv""&amp;6&amp;F / &amp;A / &amp;D",FALSE,FALSE,FALSE,FALSE,1,100,#N/A,#N/A,"=R1C1:R39C8",FALSE,"Rwvu.Ergebnisüberleitung.",#N/A,FALSE,FALSE,TRUE,9,65532,65532,FALSE,FALSE,TRUE,TRUE,TRUE}</definedName>
    <definedName name="_____art4_1" hidden="1">{TRUE,TRUE,-1.25,-15.5,772.5,492.75,FALSE,TRUE,TRUE,TRUE,0,1,#N/A,1,#N/A,12.7125,22.0869565217391,1,FALSE,FALSE,3,TRUE,1,FALSE,100,"Swvu.Ergebnisüberleitung.","ACwvu.Ergebnisüberleitung.",#N/A,FALSE,FALSE,0.78740157480315,0.78740157480315,0.590551181102362,0.393700787401575,1,"","&amp;L&amp;""Arial,Kursiv""&amp;6&amp;F / &amp;A / &amp;D",FALSE,FALSE,FALSE,FALSE,1,100,#N/A,#N/A,"=R1C1:R39C8",FALSE,"Rwvu.Ergebnisüberleitung.",#N/A,FALSE,FALSE,TRUE,9,65532,65532,FALSE,FALSE,TRUE,TRUE,TRUE}</definedName>
    <definedName name="____a1" hidden="1">{TRUE,TRUE,-1.25,-15.5,772.5,492.75,FALSE,FALSE,TRUE,TRUE,0,1,4,1,57,3,5,4,TRUE,TRUE,3,TRUE,1,TRUE,100,"Swvu.Alles.","ACwvu.Alles.",#N/A,FALSE,FALSE,1.08,0.25,0.590551181102362,0.393700787401575,1,"","&amp;L&amp;6&amp;F / &amp;A / &amp;D",FALSE,FALSE,FALSE,FALSE,1,100,#N/A,#N/A,FALSE,FALSE,#N/A,#N/A,FALSE,FALSE,FALSE,9,65532,65532,FALSE,FALSE,TRUE,TRUE,TRUE}</definedName>
    <definedName name="____a1_1" hidden="1">{TRUE,TRUE,-1.25,-15.5,772.5,492.75,FALSE,FALSE,TRUE,TRUE,0,1,4,1,57,3,5,4,TRUE,TRUE,3,TRUE,1,TRUE,100,"Swvu.Alles.","ACwvu.Alles.",#N/A,FALSE,FALSE,1.08,0.25,0.590551181102362,0.393700787401575,1,"","&amp;L&amp;6&amp;F / &amp;A / &amp;D",FALSE,FALSE,FALSE,FALSE,1,100,#N/A,#N/A,FALSE,FALSE,#N/A,#N/A,FALSE,FALSE,FALSE,9,65532,65532,FALSE,FALSE,TRUE,TRUE,TRUE}</definedName>
    <definedName name="____a2" hidden="1">{TRUE,TRUE,-1.25,-15.5,772.5,492.75,FALSE,FALSE,TRUE,TRUE,0,1,4,1,57,3,5,4,TRUE,TRUE,3,TRUE,1,TRUE,100,"Swvu.Budget_1996.","ACwvu.Budget_1996.",#N/A,FALSE,FALSE,1.08,0.25,0.590551181102362,0.393700787401575,1,"","&amp;L&amp;6&amp;F / &amp;A / &amp;D",FALSE,FALSE,FALSE,FALSE,1,100,#N/A,#N/A,FALSE,FALSE,"Rwvu.Budget_1996.",#N/A,FALSE,FALSE,FALSE,9,65532,65532,FALSE,FALSE,TRUE,TRUE,TRUE}</definedName>
    <definedName name="____a2_1" hidden="1">{TRUE,TRUE,-1.25,-15.5,772.5,492.75,FALSE,FALSE,TRUE,TRUE,0,1,4,1,57,3,5,4,TRUE,TRUE,3,TRUE,1,TRUE,100,"Swvu.Budget_1996.","ACwvu.Budget_1996.",#N/A,FALSE,FALSE,1.08,0.25,0.590551181102362,0.393700787401575,1,"","&amp;L&amp;6&amp;F / &amp;A / &amp;D",FALSE,FALSE,FALSE,FALSE,1,100,#N/A,#N/A,FALSE,FALSE,"Rwvu.Budget_1996.",#N/A,FALSE,FALSE,FALSE,9,65532,65532,FALSE,FALSE,TRUE,TRUE,TRUE}</definedName>
    <definedName name="____a3" hidden="1">{TRUE,TRUE,-1.25,-15.5,772.5,492.75,FALSE,FALSE,TRUE,TRUE,0,1,4,1,57,3,5,4,TRUE,TRUE,3,TRUE,1,TRUE,100,"Swvu.Budget_1997.","ACwvu.Budget_1997.",#N/A,FALSE,FALSE,1.08,0.25,0.590551181102362,0.393700787401575,1,"","&amp;L&amp;6&amp;F / &amp;A / &amp;D",FALSE,FALSE,FALSE,FALSE,1,100,#N/A,#N/A,FALSE,FALSE,"Rwvu.Budget_1997.",#N/A,FALSE,FALSE,FALSE,9,65532,65532,FALSE,FALSE,TRUE,TRUE,TRUE}</definedName>
    <definedName name="____a3_1" hidden="1">{TRUE,TRUE,-1.25,-15.5,772.5,492.75,FALSE,FALSE,TRUE,TRUE,0,1,4,1,57,3,5,4,TRUE,TRUE,3,TRUE,1,TRUE,100,"Swvu.Budget_1997.","ACwvu.Budget_1997.",#N/A,FALSE,FALSE,1.08,0.25,0.590551181102362,0.393700787401575,1,"","&amp;L&amp;6&amp;F / &amp;A / &amp;D",FALSE,FALSE,FALSE,FALSE,1,100,#N/A,#N/A,FALSE,FALSE,"Rwvu.Budget_1997.",#N/A,FALSE,FALSE,FALSE,9,65532,65532,FALSE,FALSE,TRUE,TRUE,TRUE}</definedName>
    <definedName name="____a4" hidden="1">{TRUE,TRUE,-1.25,-15.5,772.5,492.75,FALSE,TRUE,TRUE,TRUE,0,1,#N/A,1,#N/A,12.7125,22.0869565217391,1,FALSE,FALSE,3,TRUE,1,FALSE,100,"Swvu.Ergebnisüberleitung.","ACwvu.Ergebnisüberleitung.",#N/A,FALSE,FALSE,0.78740157480315,0.78740157480315,0.590551181102362,0.393700787401575,1,"","&amp;L&amp;""Arial,Kursiv""&amp;6&amp;F / &amp;A / &amp;D",FALSE,FALSE,FALSE,FALSE,1,100,#N/A,#N/A,"=R1C1:R39C8",FALSE,"Rwvu.Ergebnisüberleitung.",#N/A,FALSE,FALSE,TRUE,9,65532,65532,FALSE,FALSE,TRUE,TRUE,TRUE}</definedName>
    <definedName name="____a4_1" hidden="1">{TRUE,TRUE,-1.25,-15.5,772.5,492.75,FALSE,TRUE,TRUE,TRUE,0,1,#N/A,1,#N/A,12.7125,22.0869565217391,1,FALSE,FALSE,3,TRUE,1,FALSE,100,"Swvu.Ergebnisüberleitung.","ACwvu.Ergebnisüberleitung.",#N/A,FALSE,FALSE,0.78740157480315,0.78740157480315,0.590551181102362,0.393700787401575,1,"","&amp;L&amp;""Arial,Kursiv""&amp;6&amp;F / &amp;A / &amp;D",FALSE,FALSE,FALSE,FALSE,1,100,#N/A,#N/A,"=R1C1:R39C8",FALSE,"Rwvu.Ergebnisüberleitung.",#N/A,FALSE,FALSE,TRUE,9,65532,65532,FALSE,FALSE,TRUE,TRUE,TRUE}</definedName>
    <definedName name="____a5" hidden="1">{TRUE,TRUE,-1.25,-15.5,772.5,492.75,FALSE,TRUE,TRUE,TRUE,0,1,#N/A,1,#N/A,12.65,22.0869565217391,1,FALSE,FALSE,3,TRUE,1,FALSE,100,"Swvu.FC_10_Details.","ACwvu.FC_10_Details.",#N/A,FALSE,FALSE,0.78740157480315,0.78740157480315,0.590551181102362,0.393700787401575,1,"","&amp;L&amp;""Arial,Kursiv""&amp;6&amp;F / &amp;A / &amp;D",FALSE,FALSE,FALSE,FALSE,1,100,#N/A,#N/A,"=R1C1:R39C8",FALSE,#N/A,#N/A,FALSE,FALSE,FALSE,9,65532,65532,FALSE,FALSE,TRUE,TRUE,TRUE}</definedName>
    <definedName name="____a5_1" hidden="1">{TRUE,TRUE,-1.25,-15.5,772.5,492.75,FALSE,TRUE,TRUE,TRUE,0,1,#N/A,1,#N/A,12.65,22.0869565217391,1,FALSE,FALSE,3,TRUE,1,FALSE,100,"Swvu.FC_10_Details.","ACwvu.FC_10_Details.",#N/A,FALSE,FALSE,0.78740157480315,0.78740157480315,0.590551181102362,0.393700787401575,1,"","&amp;L&amp;""Arial,Kursiv""&amp;6&amp;F / &amp;A / &amp;D",FALSE,FALSE,FALSE,FALSE,1,100,#N/A,#N/A,"=R1C1:R39C8",FALSE,#N/A,#N/A,FALSE,FALSE,FALSE,9,65532,65532,FALSE,FALSE,TRUE,TRUE,TRUE}</definedName>
    <definedName name="____c" hidden="1">{TRUE,TRUE,-1.25,-15.5,772.5,492.75,FALSE,FALSE,TRUE,TRUE,0,1,4,1,57,3,5,4,TRUE,TRUE,3,TRUE,1,TRUE,100,"Swvu.Budget_1997.","ACwvu.Budget_1997.",#N/A,FALSE,FALSE,1.08,0.25,0.590551181102362,0.393700787401575,1,"","&amp;L&amp;6&amp;F / &amp;A / &amp;D",FALSE,FALSE,FALSE,FALSE,1,100,#N/A,#N/A,FALSE,FALSE,"Rwvu.Budget_1997.",#N/A,FALSE,FALSE,FALSE,9,65532,65532,FALSE,FALSE,TRUE,TRUE,TRUE}</definedName>
    <definedName name="____c_1" hidden="1">{TRUE,TRUE,-1.25,-15.5,772.5,492.75,FALSE,FALSE,TRUE,TRUE,0,1,4,1,57,3,5,4,TRUE,TRUE,3,TRUE,1,TRUE,100,"Swvu.Budget_1997.","ACwvu.Budget_1997.",#N/A,FALSE,FALSE,1.08,0.25,0.590551181102362,0.393700787401575,1,"","&amp;L&amp;6&amp;F / &amp;A / &amp;D",FALSE,FALSE,FALSE,FALSE,1,100,#N/A,#N/A,FALSE,FALSE,"Rwvu.Budget_1997.",#N/A,FALSE,FALSE,FALSE,9,65532,65532,FALSE,FALSE,TRUE,TRUE,TRUE}</definedName>
    <definedName name="____d1" hidden="1">{#N/A,#N/A,FALSE,"bel";#N/A,#N/A,FALSE,"neth"}</definedName>
    <definedName name="____d1_1" hidden="1">{#N/A,#N/A,FALSE,"bel";#N/A,#N/A,FALSE,"neth"}</definedName>
    <definedName name="____o1" hidden="1">{TRUE,TRUE,-1.25,-15.5,772.5,492.75,FALSE,FALSE,TRUE,TRUE,0,1,4,1,57,3,5,4,TRUE,TRUE,3,TRUE,1,TRUE,100,"Swvu.Alles.","ACwvu.Alles.",#N/A,FALSE,FALSE,1.08,0.25,0.590551181102362,0.393700787401575,1,"","&amp;L&amp;6&amp;F / &amp;A / &amp;D",FALSE,FALSE,FALSE,FALSE,1,100,#N/A,#N/A,FALSE,FALSE,#N/A,#N/A,FALSE,FALSE,FALSE,9,65532,65532,FALSE,FALSE,TRUE,TRUE,TRUE}</definedName>
    <definedName name="____o1_1" hidden="1">{TRUE,TRUE,-1.25,-15.5,772.5,492.75,FALSE,FALSE,TRUE,TRUE,0,1,4,1,57,3,5,4,TRUE,TRUE,3,TRUE,1,TRUE,100,"Swvu.Alles.","ACwvu.Alles.",#N/A,FALSE,FALSE,1.08,0.25,0.590551181102362,0.393700787401575,1,"","&amp;L&amp;6&amp;F / &amp;A / &amp;D",FALSE,FALSE,FALSE,FALSE,1,100,#N/A,#N/A,FALSE,FALSE,#N/A,#N/A,FALSE,FALSE,FALSE,9,65532,65532,FALSE,FALSE,TRUE,TRUE,TRUE}</definedName>
    <definedName name="____q1" hidden="1">{TRUE,TRUE,-1.25,-15.5,772.5,492.75,FALSE,TRUE,TRUE,TRUE,0,1,#N/A,1,#N/A,12.65,22.0869565217391,1,FALSE,FALSE,3,TRUE,1,FALSE,100,"Swvu.FC_10_Details.","ACwvu.FC_10_Details.",#N/A,FALSE,FALSE,0.78740157480315,0.78740157480315,0.590551181102362,0.393700787401575,1,"","&amp;L&amp;""Arial,Kursiv""&amp;6&amp;F / &amp;A / &amp;D",FALSE,FALSE,FALSE,FALSE,1,100,#N/A,#N/A,"=R1C1:R39C8",FALSE,#N/A,#N/A,FALSE,FALSE,FALSE,9,65532,65532,FALSE,FALSE,TRUE,TRUE,TRUE}</definedName>
    <definedName name="____q1_1" hidden="1">{TRUE,TRUE,-1.25,-15.5,772.5,492.75,FALSE,TRUE,TRUE,TRUE,0,1,#N/A,1,#N/A,12.65,22.0869565217391,1,FALSE,FALSE,3,TRUE,1,FALSE,100,"Swvu.FC_10_Details.","ACwvu.FC_10_Details.",#N/A,FALSE,FALSE,0.78740157480315,0.78740157480315,0.590551181102362,0.393700787401575,1,"","&amp;L&amp;""Arial,Kursiv""&amp;6&amp;F / &amp;A / &amp;D",FALSE,FALSE,FALSE,FALSE,1,100,#N/A,#N/A,"=R1C1:R39C8",FALSE,#N/A,#N/A,FALSE,FALSE,FALSE,9,65532,65532,FALSE,FALSE,TRUE,TRUE,TRUE}</definedName>
    <definedName name="____r78ri" hidden="1">{TRUE,TRUE,-1.25,-15.5,772.5,492.75,FALSE,FALSE,TRUE,TRUE,0,1,4,1,57,3,5,4,TRUE,TRUE,3,TRUE,1,TRUE,100,"Swvu.Budget_1997.","ACwvu.Budget_1997.",#N/A,FALSE,FALSE,1.08,0.25,0.590551181102362,0.393700787401575,1,"","&amp;L&amp;6&amp;F / &amp;A / &amp;D",FALSE,FALSE,FALSE,FALSE,1,100,#N/A,#N/A,FALSE,FALSE,"Rwvu.Budget_1997.",#N/A,FALSE,FALSE,FALSE,9,65532,65532,FALSE,FALSE,TRUE,TRUE,TRUE}</definedName>
    <definedName name="____r78ri_1" hidden="1">{TRUE,TRUE,-1.25,-15.5,772.5,492.75,FALSE,FALSE,TRUE,TRUE,0,1,4,1,57,3,5,4,TRUE,TRUE,3,TRUE,1,TRUE,100,"Swvu.Budget_1997.","ACwvu.Budget_1997.",#N/A,FALSE,FALSE,1.08,0.25,0.590551181102362,0.393700787401575,1,"","&amp;L&amp;6&amp;F / &amp;A / &amp;D",FALSE,FALSE,FALSE,FALSE,1,100,#N/A,#N/A,FALSE,FALSE,"Rwvu.Budget_1997.",#N/A,FALSE,FALSE,FALSE,9,65532,65532,FALSE,FALSE,TRUE,TRUE,TRUE}</definedName>
    <definedName name="____r7irro" hidden="1">{TRUE,TRUE,-1.25,-15.5,772.5,492.75,FALSE,TRUE,TRUE,TRUE,0,1,#N/A,1,#N/A,12.7125,22.0869565217391,1,FALSE,FALSE,3,TRUE,1,FALSE,100,"Swvu.Ergebnisüberleitung.","ACwvu.Ergebnisüberleitung.",#N/A,FALSE,FALSE,0.78740157480315,0.78740157480315,0.590551181102362,0.393700787401575,1,"","&amp;L&amp;""Arial,Kursiv""&amp;6&amp;F / &amp;A / &amp;D",FALSE,FALSE,FALSE,FALSE,1,100,#N/A,#N/A,"=R1C1:R39C8",FALSE,"Rwvu.Ergebnisüberleitung.",#N/A,FALSE,FALSE,TRUE,9,65532,65532,FALSE,FALSE,TRUE,TRUE,TRUE}</definedName>
    <definedName name="____r7irro_1" hidden="1">{TRUE,TRUE,-1.25,-15.5,772.5,492.75,FALSE,TRUE,TRUE,TRUE,0,1,#N/A,1,#N/A,12.7125,22.0869565217391,1,FALSE,FALSE,3,TRUE,1,FALSE,100,"Swvu.Ergebnisüberleitung.","ACwvu.Ergebnisüberleitung.",#N/A,FALSE,FALSE,0.78740157480315,0.78740157480315,0.590551181102362,0.393700787401575,1,"","&amp;L&amp;""Arial,Kursiv""&amp;6&amp;F / &amp;A / &amp;D",FALSE,FALSE,FALSE,FALSE,1,100,#N/A,#N/A,"=R1C1:R39C8",FALSE,"Rwvu.Ergebnisüberleitung.",#N/A,FALSE,FALSE,TRUE,9,65532,65532,FALSE,FALSE,TRUE,TRUE,TRUE}</definedName>
    <definedName name="____wr4" hidden="1">{TRUE,TRUE,-1.25,-15.5,772.5,492.75,FALSE,FALSE,TRUE,TRUE,0,1,4,1,57,3,5,4,TRUE,TRUE,3,TRUE,1,TRUE,100,"Swvu.Budget_1996.","ACwvu.Budget_1996.",#N/A,FALSE,FALSE,1.08,0.25,0.590551181102362,0.393700787401575,1,"","&amp;L&amp;6&amp;F / &amp;A / &amp;D",FALSE,FALSE,FALSE,FALSE,1,100,#N/A,#N/A,FALSE,FALSE,"Rwvu.Budget_1996.",#N/A,FALSE,FALSE,FALSE,9,65532,65532,FALSE,FALSE,TRUE,TRUE,TRUE}</definedName>
    <definedName name="____wr4_1" hidden="1">{TRUE,TRUE,-1.25,-15.5,772.5,492.75,FALSE,FALSE,TRUE,TRUE,0,1,4,1,57,3,5,4,TRUE,TRUE,3,TRUE,1,TRUE,100,"Swvu.Budget_1996.","ACwvu.Budget_1996.",#N/A,FALSE,FALSE,1.08,0.25,0.590551181102362,0.393700787401575,1,"","&amp;L&amp;6&amp;F / &amp;A / &amp;D",FALSE,FALSE,FALSE,FALSE,1,100,#N/A,#N/A,FALSE,FALSE,"Rwvu.Budget_1996.",#N/A,FALSE,FALSE,FALSE,9,65532,65532,FALSE,FALSE,TRUE,TRUE,TRUE}</definedName>
    <definedName name="___a1" hidden="1">{"mgmt forecast",#N/A,FALSE,"Mgmt Forecast";"dcf table",#N/A,FALSE,"Mgmt Forecast";"sensitivity",#N/A,FALSE,"Mgmt Forecast";"table inputs",#N/A,FALSE,"Mgmt Forecast";"calculations",#N/A,FALSE,"Mgmt Forecast"}</definedName>
    <definedName name="___a2" hidden="1">{"mgmt forecast",#N/A,FALSE,"Mgmt Forecast";"dcf table",#N/A,FALSE,"Mgmt Forecast";"sensitivity",#N/A,FALSE,"Mgmt Forecast";"table inputs",#N/A,FALSE,"Mgmt Forecast";"calculations",#N/A,FALSE,"Mgmt Forecast"}</definedName>
    <definedName name="___art4" hidden="1">{TRUE,TRUE,-1.25,-15.5,772.5,492.75,FALSE,TRUE,TRUE,TRUE,0,1,#N/A,1,#N/A,12.7125,22.0869565217391,1,FALSE,FALSE,3,TRUE,1,FALSE,100,"Swvu.Ergebnisüberleitung.","ACwvu.Ergebnisüberleitung.",#N/A,FALSE,FALSE,0.78740157480315,0.78740157480315,0.590551181102362,0.393700787401575,1,"","&amp;L&amp;""Arial,Kursiv""&amp;6&amp;F / &amp;A / &amp;D",FALSE,FALSE,FALSE,FALSE,1,100,#N/A,#N/A,"=R1C1:R39C8",FALSE,"Rwvu.Ergebnisüberleitung.",#N/A,FALSE,FALSE,TRUE,9,65532,65532,FALSE,FALSE,TRUE,TRUE,TRUE}</definedName>
    <definedName name="___art4_1" hidden="1">{TRUE,TRUE,-1.25,-15.5,772.5,492.75,FALSE,TRUE,TRUE,TRUE,0,1,#N/A,1,#N/A,12.7125,22.0869565217391,1,FALSE,FALSE,3,TRUE,1,FALSE,100,"Swvu.Ergebnisüberleitung.","ACwvu.Ergebnisüberleitung.",#N/A,FALSE,FALSE,0.78740157480315,0.78740157480315,0.590551181102362,0.393700787401575,1,"","&amp;L&amp;""Arial,Kursiv""&amp;6&amp;F / &amp;A / &amp;D",FALSE,FALSE,FALSE,FALSE,1,100,#N/A,#N/A,"=R1C1:R39C8",FALSE,"Rwvu.Ergebnisüberleitung.",#N/A,FALSE,FALSE,TRUE,9,65532,65532,FALSE,FALSE,TRUE,TRUE,TRUE}</definedName>
    <definedName name="__a1" hidden="1">{TRUE,TRUE,-1.25,-15.5,772.5,492.75,FALSE,FALSE,TRUE,TRUE,0,1,4,1,57,3,5,4,TRUE,TRUE,3,TRUE,1,TRUE,100,"Swvu.Alles.","ACwvu.Alles.",#N/A,FALSE,FALSE,1.08,0.25,0.590551181102362,0.393700787401575,1,"","&amp;L&amp;6&amp;F / &amp;A / &amp;D",FALSE,FALSE,FALSE,FALSE,1,100,#N/A,#N/A,FALSE,FALSE,#N/A,#N/A,FALSE,FALSE,FALSE,9,65532,65532,FALSE,FALSE,TRUE,TRUE,TRUE}</definedName>
    <definedName name="__a1_1" hidden="1">{TRUE,TRUE,-1.25,-15.5,772.5,492.75,FALSE,FALSE,TRUE,TRUE,0,1,4,1,57,3,5,4,TRUE,TRUE,3,TRUE,1,TRUE,100,"Swvu.Alles.","ACwvu.Alles.",#N/A,FALSE,FALSE,1.08,0.25,0.590551181102362,0.393700787401575,1,"","&amp;L&amp;6&amp;F / &amp;A / &amp;D",FALSE,FALSE,FALSE,FALSE,1,100,#N/A,#N/A,FALSE,FALSE,#N/A,#N/A,FALSE,FALSE,FALSE,9,65532,65532,FALSE,FALSE,TRUE,TRUE,TRUE}</definedName>
    <definedName name="__a2" hidden="1">{TRUE,TRUE,-1.25,-15.5,772.5,492.75,FALSE,FALSE,TRUE,TRUE,0,1,4,1,57,3,5,4,TRUE,TRUE,3,TRUE,1,TRUE,100,"Swvu.Budget_1996.","ACwvu.Budget_1996.",#N/A,FALSE,FALSE,1.08,0.25,0.590551181102362,0.393700787401575,1,"","&amp;L&amp;6&amp;F / &amp;A / &amp;D",FALSE,FALSE,FALSE,FALSE,1,100,#N/A,#N/A,FALSE,FALSE,"Rwvu.Budget_1996.",#N/A,FALSE,FALSE,FALSE,9,65532,65532,FALSE,FALSE,TRUE,TRUE,TRUE}</definedName>
    <definedName name="__a2_1" hidden="1">{TRUE,TRUE,-1.25,-15.5,772.5,492.75,FALSE,FALSE,TRUE,TRUE,0,1,4,1,57,3,5,4,TRUE,TRUE,3,TRUE,1,TRUE,100,"Swvu.Budget_1996.","ACwvu.Budget_1996.",#N/A,FALSE,FALSE,1.08,0.25,0.590551181102362,0.393700787401575,1,"","&amp;L&amp;6&amp;F / &amp;A / &amp;D",FALSE,FALSE,FALSE,FALSE,1,100,#N/A,#N/A,FALSE,FALSE,"Rwvu.Budget_1996.",#N/A,FALSE,FALSE,FALSE,9,65532,65532,FALSE,FALSE,TRUE,TRUE,TRUE}</definedName>
    <definedName name="__a3" hidden="1">{TRUE,TRUE,-1.25,-15.5,772.5,492.75,FALSE,FALSE,TRUE,TRUE,0,1,4,1,57,3,5,4,TRUE,TRUE,3,TRUE,1,TRUE,100,"Swvu.Budget_1997.","ACwvu.Budget_1997.",#N/A,FALSE,FALSE,1.08,0.25,0.590551181102362,0.393700787401575,1,"","&amp;L&amp;6&amp;F / &amp;A / &amp;D",FALSE,FALSE,FALSE,FALSE,1,100,#N/A,#N/A,FALSE,FALSE,"Rwvu.Budget_1997.",#N/A,FALSE,FALSE,FALSE,9,65532,65532,FALSE,FALSE,TRUE,TRUE,TRUE}</definedName>
    <definedName name="__a3_1" hidden="1">{TRUE,TRUE,-1.25,-15.5,772.5,492.75,FALSE,FALSE,TRUE,TRUE,0,1,4,1,57,3,5,4,TRUE,TRUE,3,TRUE,1,TRUE,100,"Swvu.Budget_1997.","ACwvu.Budget_1997.",#N/A,FALSE,FALSE,1.08,0.25,0.590551181102362,0.393700787401575,1,"","&amp;L&amp;6&amp;F / &amp;A / &amp;D",FALSE,FALSE,FALSE,FALSE,1,100,#N/A,#N/A,FALSE,FALSE,"Rwvu.Budget_1997.",#N/A,FALSE,FALSE,FALSE,9,65532,65532,FALSE,FALSE,TRUE,TRUE,TRUE}</definedName>
    <definedName name="__a4" hidden="1">{TRUE,TRUE,-1.25,-15.5,772.5,492.75,FALSE,TRUE,TRUE,TRUE,0,1,#N/A,1,#N/A,12.7125,22.0869565217391,1,FALSE,FALSE,3,TRUE,1,FALSE,100,"Swvu.Ergebnisüberleitung.","ACwvu.Ergebnisüberleitung.",#N/A,FALSE,FALSE,0.78740157480315,0.78740157480315,0.590551181102362,0.393700787401575,1,"","&amp;L&amp;""Arial,Kursiv""&amp;6&amp;F / &amp;A / &amp;D",FALSE,FALSE,FALSE,FALSE,1,100,#N/A,#N/A,"=R1C1:R39C8",FALSE,"Rwvu.Ergebnisüberleitung.",#N/A,FALSE,FALSE,TRUE,9,65532,65532,FALSE,FALSE,TRUE,TRUE,TRUE}</definedName>
    <definedName name="__a4_1" hidden="1">{TRUE,TRUE,-1.25,-15.5,772.5,492.75,FALSE,TRUE,TRUE,TRUE,0,1,#N/A,1,#N/A,12.7125,22.0869565217391,1,FALSE,FALSE,3,TRUE,1,FALSE,100,"Swvu.Ergebnisüberleitung.","ACwvu.Ergebnisüberleitung.",#N/A,FALSE,FALSE,0.78740157480315,0.78740157480315,0.590551181102362,0.393700787401575,1,"","&amp;L&amp;""Arial,Kursiv""&amp;6&amp;F / &amp;A / &amp;D",FALSE,FALSE,FALSE,FALSE,1,100,#N/A,#N/A,"=R1C1:R39C8",FALSE,"Rwvu.Ergebnisüberleitung.",#N/A,FALSE,FALSE,TRUE,9,65532,65532,FALSE,FALSE,TRUE,TRUE,TRUE}</definedName>
    <definedName name="__a5" hidden="1">{TRUE,TRUE,-1.25,-15.5,772.5,492.75,FALSE,TRUE,TRUE,TRUE,0,1,#N/A,1,#N/A,12.65,22.0869565217391,1,FALSE,FALSE,3,TRUE,1,FALSE,100,"Swvu.FC_10_Details.","ACwvu.FC_10_Details.",#N/A,FALSE,FALSE,0.78740157480315,0.78740157480315,0.590551181102362,0.393700787401575,1,"","&amp;L&amp;""Arial,Kursiv""&amp;6&amp;F / &amp;A / &amp;D",FALSE,FALSE,FALSE,FALSE,1,100,#N/A,#N/A,"=R1C1:R39C8",FALSE,#N/A,#N/A,FALSE,FALSE,FALSE,9,65532,65532,FALSE,FALSE,TRUE,TRUE,TRUE}</definedName>
    <definedName name="__a5_1" hidden="1">{TRUE,TRUE,-1.25,-15.5,772.5,492.75,FALSE,TRUE,TRUE,TRUE,0,1,#N/A,1,#N/A,12.65,22.0869565217391,1,FALSE,FALSE,3,TRUE,1,FALSE,100,"Swvu.FC_10_Details.","ACwvu.FC_10_Details.",#N/A,FALSE,FALSE,0.78740157480315,0.78740157480315,0.590551181102362,0.393700787401575,1,"","&amp;L&amp;""Arial,Kursiv""&amp;6&amp;F / &amp;A / &amp;D",FALSE,FALSE,FALSE,FALSE,1,100,#N/A,#N/A,"=R1C1:R39C8",FALSE,#N/A,#N/A,FALSE,FALSE,FALSE,9,65532,65532,FALSE,FALSE,TRUE,TRUE,TRUE}</definedName>
    <definedName name="__d1" hidden="1">{#N/A,#N/A,FALSE,"bel";#N/A,#N/A,FALSE,"neth"}</definedName>
    <definedName name="__d1_1" hidden="1">{#N/A,#N/A,FALSE,"bel";#N/A,#N/A,FALSE,"neth"}</definedName>
    <definedName name="__o1" hidden="1">{TRUE,TRUE,-1.25,-15.5,772.5,492.75,FALSE,FALSE,TRUE,TRUE,0,1,4,1,57,3,5,4,TRUE,TRUE,3,TRUE,1,TRUE,100,"Swvu.Alles.","ACwvu.Alles.",#N/A,FALSE,FALSE,1.08,0.25,0.590551181102362,0.393700787401575,1,"","&amp;L&amp;6&amp;F / &amp;A / &amp;D",FALSE,FALSE,FALSE,FALSE,1,100,#N/A,#N/A,FALSE,FALSE,#N/A,#N/A,FALSE,FALSE,FALSE,9,65532,65532,FALSE,FALSE,TRUE,TRUE,TRUE}</definedName>
    <definedName name="__o1_1" hidden="1">{TRUE,TRUE,-1.25,-15.5,772.5,492.75,FALSE,FALSE,TRUE,TRUE,0,1,4,1,57,3,5,4,TRUE,TRUE,3,TRUE,1,TRUE,100,"Swvu.Alles.","ACwvu.Alles.",#N/A,FALSE,FALSE,1.08,0.25,0.590551181102362,0.393700787401575,1,"","&amp;L&amp;6&amp;F / &amp;A / &amp;D",FALSE,FALSE,FALSE,FALSE,1,100,#N/A,#N/A,FALSE,FALSE,#N/A,#N/A,FALSE,FALSE,FALSE,9,65532,65532,FALSE,FALSE,TRUE,TRUE,TRUE}</definedName>
    <definedName name="__q1" hidden="1">{TRUE,TRUE,-1.25,-15.5,772.5,492.75,FALSE,TRUE,TRUE,TRUE,0,1,#N/A,1,#N/A,12.65,22.0869565217391,1,FALSE,FALSE,3,TRUE,1,FALSE,100,"Swvu.FC_10_Details.","ACwvu.FC_10_Details.",#N/A,FALSE,FALSE,0.78740157480315,0.78740157480315,0.590551181102362,0.393700787401575,1,"","&amp;L&amp;""Arial,Kursiv""&amp;6&amp;F / &amp;A / &amp;D",FALSE,FALSE,FALSE,FALSE,1,100,#N/A,#N/A,"=R1C1:R39C8",FALSE,#N/A,#N/A,FALSE,FALSE,FALSE,9,65532,65532,FALSE,FALSE,TRUE,TRUE,TRUE}</definedName>
    <definedName name="__q1_1" hidden="1">{TRUE,TRUE,-1.25,-15.5,772.5,492.75,FALSE,TRUE,TRUE,TRUE,0,1,#N/A,1,#N/A,12.65,22.0869565217391,1,FALSE,FALSE,3,TRUE,1,FALSE,100,"Swvu.FC_10_Details.","ACwvu.FC_10_Details.",#N/A,FALSE,FALSE,0.78740157480315,0.78740157480315,0.590551181102362,0.393700787401575,1,"","&amp;L&amp;""Arial,Kursiv""&amp;6&amp;F / &amp;A / &amp;D",FALSE,FALSE,FALSE,FALSE,1,100,#N/A,#N/A,"=R1C1:R39C8",FALSE,#N/A,#N/A,FALSE,FALSE,FALSE,9,65532,65532,FALSE,FALSE,TRUE,TRUE,TRUE}</definedName>
    <definedName name="__r78ri" hidden="1">{TRUE,TRUE,-1.25,-15.5,772.5,492.75,FALSE,FALSE,TRUE,TRUE,0,1,4,1,57,3,5,4,TRUE,TRUE,3,TRUE,1,TRUE,100,"Swvu.Budget_1997.","ACwvu.Budget_1997.",#N/A,FALSE,FALSE,1.08,0.25,0.590551181102362,0.393700787401575,1,"","&amp;L&amp;6&amp;F / &amp;A / &amp;D",FALSE,FALSE,FALSE,FALSE,1,100,#N/A,#N/A,FALSE,FALSE,"Rwvu.Budget_1997.",#N/A,FALSE,FALSE,FALSE,9,65532,65532,FALSE,FALSE,TRUE,TRUE,TRUE}</definedName>
    <definedName name="__r78ri_1" hidden="1">{TRUE,TRUE,-1.25,-15.5,772.5,492.75,FALSE,FALSE,TRUE,TRUE,0,1,4,1,57,3,5,4,TRUE,TRUE,3,TRUE,1,TRUE,100,"Swvu.Budget_1997.","ACwvu.Budget_1997.",#N/A,FALSE,FALSE,1.08,0.25,0.590551181102362,0.393700787401575,1,"","&amp;L&amp;6&amp;F / &amp;A / &amp;D",FALSE,FALSE,FALSE,FALSE,1,100,#N/A,#N/A,FALSE,FALSE,"Rwvu.Budget_1997.",#N/A,FALSE,FALSE,FALSE,9,65532,65532,FALSE,FALSE,TRUE,TRUE,TRUE}</definedName>
    <definedName name="__r7irro" hidden="1">{TRUE,TRUE,-1.25,-15.5,772.5,492.75,FALSE,TRUE,TRUE,TRUE,0,1,#N/A,1,#N/A,12.7125,22.0869565217391,1,FALSE,FALSE,3,TRUE,1,FALSE,100,"Swvu.Ergebnisüberleitung.","ACwvu.Ergebnisüberleitung.",#N/A,FALSE,FALSE,0.78740157480315,0.78740157480315,0.590551181102362,0.393700787401575,1,"","&amp;L&amp;""Arial,Kursiv""&amp;6&amp;F / &amp;A / &amp;D",FALSE,FALSE,FALSE,FALSE,1,100,#N/A,#N/A,"=R1C1:R39C8",FALSE,"Rwvu.Ergebnisüberleitung.",#N/A,FALSE,FALSE,TRUE,9,65532,65532,FALSE,FALSE,TRUE,TRUE,TRUE}</definedName>
    <definedName name="__r7irro_1" hidden="1">{TRUE,TRUE,-1.25,-15.5,772.5,492.75,FALSE,TRUE,TRUE,TRUE,0,1,#N/A,1,#N/A,12.7125,22.0869565217391,1,FALSE,FALSE,3,TRUE,1,FALSE,100,"Swvu.Ergebnisüberleitung.","ACwvu.Ergebnisüberleitung.",#N/A,FALSE,FALSE,0.78740157480315,0.78740157480315,0.590551181102362,0.393700787401575,1,"","&amp;L&amp;""Arial,Kursiv""&amp;6&amp;F / &amp;A / &amp;D",FALSE,FALSE,FALSE,FALSE,1,100,#N/A,#N/A,"=R1C1:R39C8",FALSE,"Rwvu.Ergebnisüberleitung.",#N/A,FALSE,FALSE,TRUE,9,65532,65532,FALSE,FALSE,TRUE,TRUE,TRUE}</definedName>
    <definedName name="__wr4" hidden="1">{TRUE,TRUE,-1.25,-15.5,772.5,492.75,FALSE,FALSE,TRUE,TRUE,0,1,4,1,57,3,5,4,TRUE,TRUE,3,TRUE,1,TRUE,100,"Swvu.Budget_1996.","ACwvu.Budget_1996.",#N/A,FALSE,FALSE,1.08,0.25,0.590551181102362,0.393700787401575,1,"","&amp;L&amp;6&amp;F / &amp;A / &amp;D",FALSE,FALSE,FALSE,FALSE,1,100,#N/A,#N/A,FALSE,FALSE,"Rwvu.Budget_1996.",#N/A,FALSE,FALSE,FALSE,9,65532,65532,FALSE,FALSE,TRUE,TRUE,TRUE}</definedName>
    <definedName name="__wr4_1" hidden="1">{TRUE,TRUE,-1.25,-15.5,772.5,492.75,FALSE,FALSE,TRUE,TRUE,0,1,4,1,57,3,5,4,TRUE,TRUE,3,TRUE,1,TRUE,100,"Swvu.Budget_1996.","ACwvu.Budget_1996.",#N/A,FALSE,FALSE,1.08,0.25,0.590551181102362,0.393700787401575,1,"","&amp;L&amp;6&amp;F / &amp;A / &amp;D",FALSE,FALSE,FALSE,FALSE,1,100,#N/A,#N/A,FALSE,FALSE,"Rwvu.Budget_1996.",#N/A,FALSE,FALSE,FALSE,9,65532,65532,FALSE,FALSE,TRUE,TRUE,TRUE}</definedName>
    <definedName name="_5111cda8_STF_Fuss_1_CN1">#REF!</definedName>
    <definedName name="_5111cda8_STF_Gesamtsumme_1_CN1">#REF!</definedName>
    <definedName name="_5111cda8_STF_Gesamtsumme_1_CN2">#REF!</definedName>
    <definedName name="_5111cda8_STF_Koerper_1_CN1">#REF!</definedName>
    <definedName name="_5111cda8_STF_Koerper_1_CN3">#REF!</definedName>
    <definedName name="_5111cda8_STF_Koerper_1_CN4">#REF!</definedName>
    <definedName name="_5111cda8_STF_Koerper_1_CN5">#REF!</definedName>
    <definedName name="_5111cda8_STF_Koerper_1_CN6">#REF!</definedName>
    <definedName name="_5111cda8_STF_Koerper_1_CN7">#REF!</definedName>
    <definedName name="_5111cda8_STF_Koerper_1_CN8">#REF!</definedName>
    <definedName name="_5111cda8_STF_Tabellenkopf_1_CN1">#REF!</definedName>
    <definedName name="_5111cda8_STF_Titel_1_CN1">#REF!</definedName>
    <definedName name="_5111cda8_STF_Vorspalte_1_CN1">#REF!</definedName>
    <definedName name="_a1" hidden="1">{TRUE,TRUE,-1.25,-15.5,772.5,492.75,FALSE,FALSE,TRUE,TRUE,0,1,4,1,57,3,5,4,TRUE,TRUE,3,TRUE,1,TRUE,100,"Swvu.Alles.","ACwvu.Alles.",#N/A,FALSE,FALSE,1.08,0.25,0.590551181102362,0.393700787401575,1,"","&amp;L&amp;6&amp;F / &amp;A / &amp;D",FALSE,FALSE,FALSE,FALSE,1,100,#N/A,#N/A,FALSE,FALSE,#N/A,#N/A,FALSE,FALSE,FALSE,9,65532,65532,FALSE,FALSE,TRUE,TRUE,TRUE}</definedName>
    <definedName name="_a1_1" hidden="1">{TRUE,TRUE,-1.25,-15.5,772.5,492.75,FALSE,FALSE,TRUE,TRUE,0,1,4,1,57,3,5,4,TRUE,TRUE,3,TRUE,1,TRUE,100,"Swvu.Alles.","ACwvu.Alles.",#N/A,FALSE,FALSE,1.08,0.25,0.590551181102362,0.393700787401575,1,"","&amp;L&amp;6&amp;F / &amp;A / &amp;D",FALSE,FALSE,FALSE,FALSE,1,100,#N/A,#N/A,FALSE,FALSE,#N/A,#N/A,FALSE,FALSE,FALSE,9,65532,65532,FALSE,FALSE,TRUE,TRUE,TRUE}</definedName>
    <definedName name="_a2" hidden="1">{TRUE,TRUE,-1.25,-15.5,772.5,492.75,FALSE,FALSE,TRUE,TRUE,0,1,4,1,57,3,5,4,TRUE,TRUE,3,TRUE,1,TRUE,100,"Swvu.Budget_1996.","ACwvu.Budget_1996.",#N/A,FALSE,FALSE,1.08,0.25,0.590551181102362,0.393700787401575,1,"","&amp;L&amp;6&amp;F / &amp;A / &amp;D",FALSE,FALSE,FALSE,FALSE,1,100,#N/A,#N/A,FALSE,FALSE,"Rwvu.Budget_1996.",#N/A,FALSE,FALSE,FALSE,9,65532,65532,FALSE,FALSE,TRUE,TRUE,TRUE}</definedName>
    <definedName name="_a2_1" hidden="1">{TRUE,TRUE,-1.25,-15.5,772.5,492.75,FALSE,FALSE,TRUE,TRUE,0,1,4,1,57,3,5,4,TRUE,TRUE,3,TRUE,1,TRUE,100,"Swvu.Budget_1996.","ACwvu.Budget_1996.",#N/A,FALSE,FALSE,1.08,0.25,0.590551181102362,0.393700787401575,1,"","&amp;L&amp;6&amp;F / &amp;A / &amp;D",FALSE,FALSE,FALSE,FALSE,1,100,#N/A,#N/A,FALSE,FALSE,"Rwvu.Budget_1996.",#N/A,FALSE,FALSE,FALSE,9,65532,65532,FALSE,FALSE,TRUE,TRUE,TRUE}</definedName>
    <definedName name="_a3" hidden="1">{TRUE,TRUE,-1.25,-15.5,772.5,492.75,FALSE,FALSE,TRUE,TRUE,0,1,4,1,57,3,5,4,TRUE,TRUE,3,TRUE,1,TRUE,100,"Swvu.Budget_1997.","ACwvu.Budget_1997.",#N/A,FALSE,FALSE,1.08,0.25,0.590551181102362,0.393700787401575,1,"","&amp;L&amp;6&amp;F / &amp;A / &amp;D",FALSE,FALSE,FALSE,FALSE,1,100,#N/A,#N/A,FALSE,FALSE,"Rwvu.Budget_1997.",#N/A,FALSE,FALSE,FALSE,9,65532,65532,FALSE,FALSE,TRUE,TRUE,TRUE}</definedName>
    <definedName name="_a3_1" hidden="1">{TRUE,TRUE,-1.25,-15.5,772.5,492.75,FALSE,FALSE,TRUE,TRUE,0,1,4,1,57,3,5,4,TRUE,TRUE,3,TRUE,1,TRUE,100,"Swvu.Budget_1997.","ACwvu.Budget_1997.",#N/A,FALSE,FALSE,1.08,0.25,0.590551181102362,0.393700787401575,1,"","&amp;L&amp;6&amp;F / &amp;A / &amp;D",FALSE,FALSE,FALSE,FALSE,1,100,#N/A,#N/A,FALSE,FALSE,"Rwvu.Budget_1997.",#N/A,FALSE,FALSE,FALSE,9,65532,65532,FALSE,FALSE,TRUE,TRUE,TRUE}</definedName>
    <definedName name="_a4" hidden="1">{TRUE,TRUE,-1.25,-15.5,772.5,492.75,FALSE,TRUE,TRUE,TRUE,0,1,#N/A,1,#N/A,12.7125,22.0869565217391,1,FALSE,FALSE,3,TRUE,1,FALSE,100,"Swvu.Ergebnisüberleitung.","ACwvu.Ergebnisüberleitung.",#N/A,FALSE,FALSE,0.78740157480315,0.78740157480315,0.590551181102362,0.393700787401575,1,"","&amp;L&amp;""Arial,Kursiv""&amp;6&amp;F / &amp;A / &amp;D",FALSE,FALSE,FALSE,FALSE,1,100,#N/A,#N/A,"=R1C1:R39C8",FALSE,"Rwvu.Ergebnisüberleitung.",#N/A,FALSE,FALSE,TRUE,9,65532,65532,FALSE,FALSE,TRUE,TRUE,TRUE}</definedName>
    <definedName name="_a4_1" hidden="1">{TRUE,TRUE,-1.25,-15.5,772.5,492.75,FALSE,TRUE,TRUE,TRUE,0,1,#N/A,1,#N/A,12.7125,22.0869565217391,1,FALSE,FALSE,3,TRUE,1,FALSE,100,"Swvu.Ergebnisüberleitung.","ACwvu.Ergebnisüberleitung.",#N/A,FALSE,FALSE,0.78740157480315,0.78740157480315,0.590551181102362,0.393700787401575,1,"","&amp;L&amp;""Arial,Kursiv""&amp;6&amp;F / &amp;A / &amp;D",FALSE,FALSE,FALSE,FALSE,1,100,#N/A,#N/A,"=R1C1:R39C8",FALSE,"Rwvu.Ergebnisüberleitung.",#N/A,FALSE,FALSE,TRUE,9,65532,65532,FALSE,FALSE,TRUE,TRUE,TRUE}</definedName>
    <definedName name="_a5" hidden="1">{TRUE,TRUE,-1.25,-15.5,772.5,492.75,FALSE,TRUE,TRUE,TRUE,0,1,#N/A,1,#N/A,12.65,22.0869565217391,1,FALSE,FALSE,3,TRUE,1,FALSE,100,"Swvu.FC_10_Details.","ACwvu.FC_10_Details.",#N/A,FALSE,FALSE,0.78740157480315,0.78740157480315,0.590551181102362,0.393700787401575,1,"","&amp;L&amp;""Arial,Kursiv""&amp;6&amp;F / &amp;A / &amp;D",FALSE,FALSE,FALSE,FALSE,1,100,#N/A,#N/A,"=R1C1:R39C8",FALSE,#N/A,#N/A,FALSE,FALSE,FALSE,9,65532,65532,FALSE,FALSE,TRUE,TRUE,TRUE}</definedName>
    <definedName name="_a5_1" hidden="1">{TRUE,TRUE,-1.25,-15.5,772.5,492.75,FALSE,TRUE,TRUE,TRUE,0,1,#N/A,1,#N/A,12.65,22.0869565217391,1,FALSE,FALSE,3,TRUE,1,FALSE,100,"Swvu.FC_10_Details.","ACwvu.FC_10_Details.",#N/A,FALSE,FALSE,0.78740157480315,0.78740157480315,0.590551181102362,0.393700787401575,1,"","&amp;L&amp;""Arial,Kursiv""&amp;6&amp;F / &amp;A / &amp;D",FALSE,FALSE,FALSE,FALSE,1,100,#N/A,#N/A,"=R1C1:R39C8",FALSE,#N/A,#N/A,FALSE,FALSE,FALSE,9,65532,65532,FALSE,FALSE,TRUE,TRUE,TRUE}</definedName>
    <definedName name="_art4" hidden="1">{TRUE,TRUE,-1.25,-15.5,772.5,492.75,FALSE,TRUE,TRUE,TRUE,0,1,#N/A,1,#N/A,12.7125,22.0869565217391,1,FALSE,FALSE,3,TRUE,1,FALSE,100,"Swvu.Ergebnisüberleitung.","ACwvu.Ergebnisüberleitung.",#N/A,FALSE,FALSE,0.78740157480315,0.78740157480315,0.590551181102362,0.393700787401575,1,"","&amp;L&amp;""Arial,Kursiv""&amp;6&amp;F / &amp;A / &amp;D",FALSE,FALSE,FALSE,FALSE,1,100,#N/A,#N/A,"=R1C1:R39C8",FALSE,"Rwvu.Ergebnisüberleitung.",#N/A,FALSE,FALSE,TRUE,9,65532,65532,FALSE,FALSE,TRUE,TRUE,TRUE}</definedName>
    <definedName name="_art4_1" hidden="1">{TRUE,TRUE,-1.25,-15.5,772.5,492.75,FALSE,TRUE,TRUE,TRUE,0,1,#N/A,1,#N/A,12.7125,22.0869565217391,1,FALSE,FALSE,3,TRUE,1,FALSE,100,"Swvu.Ergebnisüberleitung.","ACwvu.Ergebnisüberleitung.",#N/A,FALSE,FALSE,0.78740157480315,0.78740157480315,0.590551181102362,0.393700787401575,1,"","&amp;L&amp;""Arial,Kursiv""&amp;6&amp;F / &amp;A / &amp;D",FALSE,FALSE,FALSE,FALSE,1,100,#N/A,#N/A,"=R1C1:R39C8",FALSE,"Rwvu.Ergebnisüberleitung.",#N/A,FALSE,FALSE,TRUE,9,65532,65532,FALSE,FALSE,TRUE,TRUE,TRUE}</definedName>
    <definedName name="_CST2006">#REF!</definedName>
    <definedName name="_CST2008">#REF!</definedName>
    <definedName name="_d1" hidden="1">{#N/A,#N/A,FALSE,"bel";#N/A,#N/A,FALSE,"neth"}</definedName>
    <definedName name="_d1_1" hidden="1">{#N/A,#N/A,FALSE,"bel";#N/A,#N/A,FALSE,"neth"}</definedName>
    <definedName name="_Order1" hidden="1">255</definedName>
    <definedName name="_q1" hidden="1">{TRUE,TRUE,-1.25,-15.5,772.5,492.75,FALSE,TRUE,TRUE,TRUE,0,1,#N/A,1,#N/A,12.65,22.0869565217391,1,FALSE,FALSE,3,TRUE,1,FALSE,100,"Swvu.FC_10_Details.","ACwvu.FC_10_Details.",#N/A,FALSE,FALSE,0.78740157480315,0.78740157480315,0.590551181102362,0.393700787401575,1,"","&amp;L&amp;""Arial,Kursiv""&amp;6&amp;F / &amp;A / &amp;D",FALSE,FALSE,FALSE,FALSE,1,100,#N/A,#N/A,"=R1C1:R39C8",FALSE,#N/A,#N/A,FALSE,FALSE,FALSE,9,65532,65532,FALSE,FALSE,TRUE,TRUE,TRUE}</definedName>
    <definedName name="_q1_1" hidden="1">{TRUE,TRUE,-1.25,-15.5,772.5,492.75,FALSE,TRUE,TRUE,TRUE,0,1,#N/A,1,#N/A,12.65,22.0869565217391,1,FALSE,FALSE,3,TRUE,1,FALSE,100,"Swvu.FC_10_Details.","ACwvu.FC_10_Details.",#N/A,FALSE,FALSE,0.78740157480315,0.78740157480315,0.590551181102362,0.393700787401575,1,"","&amp;L&amp;""Arial,Kursiv""&amp;6&amp;F / &amp;A / &amp;D",FALSE,FALSE,FALSE,FALSE,1,100,#N/A,#N/A,"=R1C1:R39C8",FALSE,#N/A,#N/A,FALSE,FALSE,FALSE,9,65532,65532,FALSE,FALSE,TRUE,TRUE,TRUE}</definedName>
    <definedName name="_r78ri" hidden="1">{TRUE,TRUE,-1.25,-15.5,772.5,492.75,FALSE,FALSE,TRUE,TRUE,0,1,4,1,57,3,5,4,TRUE,TRUE,3,TRUE,1,TRUE,100,"Swvu.Budget_1997.","ACwvu.Budget_1997.",#N/A,FALSE,FALSE,1.08,0.25,0.590551181102362,0.393700787401575,1,"","&amp;L&amp;6&amp;F / &amp;A / &amp;D",FALSE,FALSE,FALSE,FALSE,1,100,#N/A,#N/A,FALSE,FALSE,"Rwvu.Budget_1997.",#N/A,FALSE,FALSE,FALSE,9,65532,65532,FALSE,FALSE,TRUE,TRUE,TRUE}</definedName>
    <definedName name="_r78ri_1" hidden="1">{TRUE,TRUE,-1.25,-15.5,772.5,492.75,FALSE,FALSE,TRUE,TRUE,0,1,4,1,57,3,5,4,TRUE,TRUE,3,TRUE,1,TRUE,100,"Swvu.Budget_1997.","ACwvu.Budget_1997.",#N/A,FALSE,FALSE,1.08,0.25,0.590551181102362,0.393700787401575,1,"","&amp;L&amp;6&amp;F / &amp;A / &amp;D",FALSE,FALSE,FALSE,FALSE,1,100,#N/A,#N/A,FALSE,FALSE,"Rwvu.Budget_1997.",#N/A,FALSE,FALSE,FALSE,9,65532,65532,FALSE,FALSE,TRUE,TRUE,TRUE}</definedName>
    <definedName name="_r7irro" hidden="1">{TRUE,TRUE,-1.25,-15.5,772.5,492.75,FALSE,TRUE,TRUE,TRUE,0,1,#N/A,1,#N/A,12.7125,22.0869565217391,1,FALSE,FALSE,3,TRUE,1,FALSE,100,"Swvu.Ergebnisüberleitung.","ACwvu.Ergebnisüberleitung.",#N/A,FALSE,FALSE,0.78740157480315,0.78740157480315,0.590551181102362,0.393700787401575,1,"","&amp;L&amp;""Arial,Kursiv""&amp;6&amp;F / &amp;A / &amp;D",FALSE,FALSE,FALSE,FALSE,1,100,#N/A,#N/A,"=R1C1:R39C8",FALSE,"Rwvu.Ergebnisüberleitung.",#N/A,FALSE,FALSE,TRUE,9,65532,65532,FALSE,FALSE,TRUE,TRUE,TRUE}</definedName>
    <definedName name="_r7irro_1" hidden="1">{TRUE,TRUE,-1.25,-15.5,772.5,492.75,FALSE,TRUE,TRUE,TRUE,0,1,#N/A,1,#N/A,12.7125,22.0869565217391,1,FALSE,FALSE,3,TRUE,1,FALSE,100,"Swvu.Ergebnisüberleitung.","ACwvu.Ergebnisüberleitung.",#N/A,FALSE,FALSE,0.78740157480315,0.78740157480315,0.590551181102362,0.393700787401575,1,"","&amp;L&amp;""Arial,Kursiv""&amp;6&amp;F / &amp;A / &amp;D",FALSE,FALSE,FALSE,FALSE,1,100,#N/A,#N/A,"=R1C1:R39C8",FALSE,"Rwvu.Ergebnisüberleitung.",#N/A,FALSE,FALSE,TRUE,9,65532,65532,FALSE,FALSE,TRUE,TRUE,TRUE}</definedName>
    <definedName name="_Regression_Int" hidden="1">1</definedName>
    <definedName name="_TAB7">#REF!</definedName>
    <definedName name="_wr4" hidden="1">{TRUE,TRUE,-1.25,-15.5,772.5,492.75,FALSE,FALSE,TRUE,TRUE,0,1,4,1,57,3,5,4,TRUE,TRUE,3,TRUE,1,TRUE,100,"Swvu.Budget_1996.","ACwvu.Budget_1996.",#N/A,FALSE,FALSE,1.08,0.25,0.590551181102362,0.393700787401575,1,"","&amp;L&amp;6&amp;F / &amp;A / &amp;D",FALSE,FALSE,FALSE,FALSE,1,100,#N/A,#N/A,FALSE,FALSE,"Rwvu.Budget_1996.",#N/A,FALSE,FALSE,FALSE,9,65532,65532,FALSE,FALSE,TRUE,TRUE,TRUE}</definedName>
    <definedName name="_wr4_1" hidden="1">{TRUE,TRUE,-1.25,-15.5,772.5,492.75,FALSE,FALSE,TRUE,TRUE,0,1,4,1,57,3,5,4,TRUE,TRUE,3,TRUE,1,TRUE,100,"Swvu.Budget_1996.","ACwvu.Budget_1996.",#N/A,FALSE,FALSE,1.08,0.25,0.590551181102362,0.393700787401575,1,"","&amp;L&amp;6&amp;F / &amp;A / &amp;D",FALSE,FALSE,FALSE,FALSE,1,100,#N/A,#N/A,FALSE,FALSE,"Rwvu.Budget_1996.",#N/A,FALSE,FALSE,FALSE,9,65532,65532,FALSE,FALSE,TRUE,TRUE,TRUE}</definedName>
    <definedName name="_xlcn.LinkedTable_Tabelle1" hidden="1">#REF!</definedName>
    <definedName name="_xlcn.LinkedTable_Table11" hidden="1">#REF!</definedName>
    <definedName name="_xlcn.LinkedTable_Table111" hidden="1">#REF!</definedName>
    <definedName name="_xlcn.LinkedTable_Table121" hidden="1">#REF!</definedName>
    <definedName name="_xlcn.WorksheetConnection_082016ADJVALORISATIONDESSTOCKScopieajoutprixmanquants.xlsxTableau_APMTARP___Tarifs_par_Référence_et_fournisseur" hidden="1">#REF!</definedName>
    <definedName name="_xlcn.WorksheetConnection_20162017ITexpendituretracking.xlsxCapExAccrSpend1" hidden="1">#REF!</definedName>
    <definedName name="_xlcn.WorksheetConnection_20171120REAgentCommissionHistoricalv2.xlsbCCData1" hidden="1">#REF!</definedName>
    <definedName name="_xlcn.WorksheetConnection_BdDA1AR65741" hidden="1">#REF!</definedName>
    <definedName name="_xlcn.WorksheetConnection_DataBaseIntercosFY12B6L23481" hidden="1">#REF!</definedName>
    <definedName name="_xlcn.WorksheetConnection_DBITBudget2014V0.xlsxTableau131" hidden="1">#REF!</definedName>
    <definedName name="_xlcn.WorksheetConnection_MerchantA1DA38126" hidden="1">#REF!</definedName>
    <definedName name="_xlcn.WorksheetConnection_NewBizB25N271" hidden="1">#REF!</definedName>
    <definedName name="_xlcn.WorksheetConnection_OverduedebtorsH2J881" hidden="1">#REF!</definedName>
    <definedName name="_xlcn.WorksheetConnection_PCDatabase.xlsxProjectCodes1" hidden="1">#REF!</definedName>
    <definedName name="_xlcn.WorksheetConnection_PCDatabase.xlsxProjListDataUpdates1" hidden="1">#REF!</definedName>
    <definedName name="_xlcn.WorksheetConnection_ReportA11AP19694" hidden="1">#REF!</definedName>
    <definedName name="_xlcn.WorksheetConnection_SYNTHESEPROJETSA1AI2391" hidden="1">#REF!</definedName>
    <definedName name="_xlcn.WorksheetConnection_SYNTHESEPROJETSA1AK2391" hidden="1">#REF!</definedName>
    <definedName name="a" hidden="1">{"mgmt forecast",#N/A,FALSE,"Mgmt Forecast";"dcf table",#N/A,FALSE,"Mgmt Forecast";"sensitivity",#N/A,FALSE,"Mgmt Forecast";"table inputs",#N/A,FALSE,"Mgmt Forecast";"calculations",#N/A,FALSE,"Mgmt Forecast"}</definedName>
    <definedName name="aaaa" hidden="1">{TRUE,TRUE,-1.25,-15.5,772.5,492.75,FALSE,FALSE,TRUE,TRUE,0,1,4,1,57,3,5,4,TRUE,TRUE,3,TRUE,1,TRUE,100,"Swvu.Alles.","ACwvu.Alles.",#N/A,FALSE,FALSE,1.08,0.25,0.590551181102362,0.393700787401575,1,"","&amp;L&amp;6&amp;F / &amp;A / &amp;D",FALSE,FALSE,FALSE,FALSE,1,100,#N/A,#N/A,FALSE,FALSE,#N/A,#N/A,FALSE,FALSE,FALSE,9,65532,65532,FALSE,FALSE,TRUE,TRUE,TRUE}</definedName>
    <definedName name="aaaa_1" hidden="1">{TRUE,TRUE,-1.25,-15.5,772.5,492.75,FALSE,FALSE,TRUE,TRUE,0,1,4,1,57,3,5,4,TRUE,TRUE,3,TRUE,1,TRUE,100,"Swvu.Alles.","ACwvu.Alles.",#N/A,FALSE,FALSE,1.08,0.25,0.590551181102362,0.393700787401575,1,"","&amp;L&amp;6&amp;F / &amp;A / &amp;D",FALSE,FALSE,FALSE,FALSE,1,100,#N/A,#N/A,FALSE,FALSE,#N/A,#N/A,FALSE,FALSE,FALSE,9,65532,65532,FALSE,FALSE,TRUE,TRUE,TRUE}</definedName>
    <definedName name="aaaaaaa" hidden="1">{#N/A,#N/A,FALSE,"Bl. 1";#N/A,#N/A,FALSE,"Bl. 2";#N/A,#N/A,FALSE,"Bl. 3";#N/A,#N/A,FALSE,"Bl. 4";#N/A,#N/A,FALSE,"Bl. 6";#N/A,#N/A,FALSE,"Bl. 7";#N/A,#N/A,FALSE,"BL. 8";#N/A,#N/A,FALSE,"Bl. 9";#N/A,#N/A,FALSE,"Bl. 10";#N/A,#N/A,FALSE,"Bl. 12"}</definedName>
    <definedName name="aaaaaaa_1" hidden="1">{#N/A,#N/A,FALSE,"Bl. 1";#N/A,#N/A,FALSE,"Bl. 2";#N/A,#N/A,FALSE,"Bl. 3";#N/A,#N/A,FALSE,"Bl. 4";#N/A,#N/A,FALSE,"Bl. 6";#N/A,#N/A,FALSE,"Bl. 7";#N/A,#N/A,FALSE,"BL. 8";#N/A,#N/A,FALSE,"Bl. 9";#N/A,#N/A,FALSE,"Bl. 10";#N/A,#N/A,FALSE,"Bl. 12"}</definedName>
    <definedName name="AccessDatabase" hidden="1">"S:\02_General_Programme_Management\5  Controlling\Business Case\Business Case Datenbank\BC_Auswertung.mdb"</definedName>
    <definedName name="aezeeeeeee" hidden="1">{TRUE,TRUE,-1.25,-15.5,772.5,492.75,FALSE,TRUE,TRUE,TRUE,0,1,#N/A,1,#N/A,12.65,22.0869565217391,1,FALSE,FALSE,3,TRUE,1,FALSE,100,"Swvu.FC_10_Details.","ACwvu.FC_10_Details.",#N/A,FALSE,FALSE,0.78740157480315,0.78740157480315,0.590551181102362,0.393700787401575,1,"","&amp;L&amp;""Arial,Kursiv""&amp;6&amp;F / &amp;A / &amp;D",FALSE,FALSE,FALSE,FALSE,1,100,#N/A,#N/A,"=R1C1:R39C8",FALSE,#N/A,#N/A,FALSE,FALSE,FALSE,9,65532,65532,FALSE,FALSE,TRUE,TRUE,TRUE}</definedName>
    <definedName name="aezeeeeeee_1" hidden="1">{TRUE,TRUE,-1.25,-15.5,772.5,492.75,FALSE,TRUE,TRUE,TRUE,0,1,#N/A,1,#N/A,12.65,22.0869565217391,1,FALSE,FALSE,3,TRUE,1,FALSE,100,"Swvu.FC_10_Details.","ACwvu.FC_10_Details.",#N/A,FALSE,FALSE,0.78740157480315,0.78740157480315,0.590551181102362,0.393700787401575,1,"","&amp;L&amp;""Arial,Kursiv""&amp;6&amp;F / &amp;A / &amp;D",FALSE,FALSE,FALSE,FALSE,1,100,#N/A,#N/A,"=R1C1:R39C8",FALSE,#N/A,#N/A,FALSE,FALSE,FALSE,9,65532,65532,FALSE,FALSE,TRUE,TRUE,TRUE}</definedName>
    <definedName name="aezer" hidden="1">{TRUE,TRUE,-1.25,-15.5,772.5,492.75,FALSE,TRUE,TRUE,TRUE,0,1,#N/A,1,#N/A,12.65,22.0869565217391,1,FALSE,FALSE,3,TRUE,1,FALSE,100,"Swvu.FC_10_Details.","ACwvu.FC_10_Details.",#N/A,FALSE,FALSE,0.78740157480315,0.78740157480315,0.590551181102362,0.393700787401575,1,"","&amp;L&amp;""Arial,Kursiv""&amp;6&amp;F / &amp;A / &amp;D",FALSE,FALSE,FALSE,FALSE,1,100,#N/A,#N/A,"=R1C1:R39C8",FALSE,#N/A,#N/A,FALSE,FALSE,FALSE,9,65532,65532,FALSE,FALSE,TRUE,TRUE,TRUE}</definedName>
    <definedName name="aezer_1" hidden="1">{TRUE,TRUE,-1.25,-15.5,772.5,492.75,FALSE,TRUE,TRUE,TRUE,0,1,#N/A,1,#N/A,12.65,22.0869565217391,1,FALSE,FALSE,3,TRUE,1,FALSE,100,"Swvu.FC_10_Details.","ACwvu.FC_10_Details.",#N/A,FALSE,FALSE,0.78740157480315,0.78740157480315,0.590551181102362,0.393700787401575,1,"","&amp;L&amp;""Arial,Kursiv""&amp;6&amp;F / &amp;A / &amp;D",FALSE,FALSE,FALSE,FALSE,1,100,#N/A,#N/A,"=R1C1:R39C8",FALSE,#N/A,#N/A,FALSE,FALSE,FALSE,9,65532,65532,FALSE,FALSE,TRUE,TRUE,TRUE}</definedName>
    <definedName name="afvh" hidden="1">{TRUE,TRUE,-1.25,-15.5,772.5,492.75,FALSE,TRUE,TRUE,TRUE,0,1,#N/A,1,#N/A,12.65,22.0869565217391,1,FALSE,FALSE,3,TRUE,1,FALSE,100,"Swvu.FC_10_Details.","ACwvu.FC_10_Details.",#N/A,FALSE,FALSE,0.78740157480315,0.78740157480315,0.590551181102362,0.393700787401575,1,"","&amp;L&amp;""Arial,Kursiv""&amp;6&amp;F / &amp;A / &amp;D",FALSE,FALSE,FALSE,FALSE,1,100,#N/A,#N/A,"=R1C1:R39C8",FALSE,#N/A,#N/A,FALSE,FALSE,FALSE,9,65532,65532,FALSE,FALSE,TRUE,TRUE,TRUE}</definedName>
    <definedName name="afvh_1" hidden="1">{TRUE,TRUE,-1.25,-15.5,772.5,492.75,FALSE,TRUE,TRUE,TRUE,0,1,#N/A,1,#N/A,12.65,22.0869565217391,1,FALSE,FALSE,3,TRUE,1,FALSE,100,"Swvu.FC_10_Details.","ACwvu.FC_10_Details.",#N/A,FALSE,FALSE,0.78740157480315,0.78740157480315,0.590551181102362,0.393700787401575,1,"","&amp;L&amp;""Arial,Kursiv""&amp;6&amp;F / &amp;A / &amp;D",FALSE,FALSE,FALSE,FALSE,1,100,#N/A,#N/A,"=R1C1:R39C8",FALSE,#N/A,#N/A,FALSE,FALSE,FALSE,9,65532,65532,FALSE,FALSE,TRUE,TRUE,TRUE}</definedName>
    <definedName name="Anja" hidden="1">{TRUE,TRUE,-1.25,-15.5,772.5,492.75,FALSE,FALSE,TRUE,TRUE,0,1,4,1,57,3,5,4,TRUE,TRUE,3,TRUE,1,TRUE,100,"Swvu.Budget_1996.","ACwvu.Budget_1996.",#N/A,FALSE,FALSE,1.08,0.25,0.590551181102362,0.393700787401575,1,"","&amp;L&amp;6&amp;F / &amp;A / &amp;D",FALSE,FALSE,FALSE,FALSE,1,100,#N/A,#N/A,FALSE,FALSE,"Rwvu.Budget_1996.",#N/A,FALSE,FALSE,FALSE,9,65532,65532,FALSE,FALSE,TRUE,TRUE,TRUE}</definedName>
    <definedName name="Anja_1" hidden="1">{TRUE,TRUE,-1.25,-15.5,772.5,492.75,FALSE,FALSE,TRUE,TRUE,0,1,4,1,57,3,5,4,TRUE,TRUE,3,TRUE,1,TRUE,100,"Swvu.Budget_1996.","ACwvu.Budget_1996.",#N/A,FALSE,FALSE,1.08,0.25,0.590551181102362,0.393700787401575,1,"","&amp;L&amp;6&amp;F / &amp;A / &amp;D",FALSE,FALSE,FALSE,FALSE,1,100,#N/A,#N/A,FALSE,FALSE,"Rwvu.Budget_1996.",#N/A,FALSE,FALSE,FALSE,9,65532,65532,FALSE,FALSE,TRUE,TRUE,TRUE}</definedName>
    <definedName name="areta" hidden="1">{TRUE,TRUE,-1.25,-15.5,772.5,492.75,FALSE,FALSE,TRUE,TRUE,0,1,4,1,57,3,5,4,TRUE,TRUE,3,TRUE,1,TRUE,100,"Swvu.Budget_1996.","ACwvu.Budget_1996.",#N/A,FALSE,FALSE,1.08,0.25,0.590551181102362,0.393700787401575,1,"","&amp;L&amp;6&amp;F / &amp;A / &amp;D",FALSE,FALSE,FALSE,FALSE,1,100,#N/A,#N/A,FALSE,FALSE,"Rwvu.Budget_1996.",#N/A,FALSE,FALSE,FALSE,9,65532,65532,FALSE,FALSE,TRUE,TRUE,TRUE}</definedName>
    <definedName name="areta_1" hidden="1">{TRUE,TRUE,-1.25,-15.5,772.5,492.75,FALSE,FALSE,TRUE,TRUE,0,1,4,1,57,3,5,4,TRUE,TRUE,3,TRUE,1,TRUE,100,"Swvu.Budget_1996.","ACwvu.Budget_1996.",#N/A,FALSE,FALSE,1.08,0.25,0.590551181102362,0.393700787401575,1,"","&amp;L&amp;6&amp;F / &amp;A / &amp;D",FALSE,FALSE,FALSE,FALSE,1,100,#N/A,#N/A,FALSE,FALSE,"Rwvu.Budget_1996.",#N/A,FALSE,FALSE,FALSE,9,65532,65532,FALSE,FALSE,TRUE,TRUE,TRUE}</definedName>
    <definedName name="arta" hidden="1">{TRUE,TRUE,-1.25,-15.5,772.5,492.75,FALSE,FALSE,TRUE,TRUE,0,1,4,1,57,3,5,4,TRUE,TRUE,3,TRUE,1,TRUE,100,"Swvu.Budget_1996.","ACwvu.Budget_1996.",#N/A,FALSE,FALSE,1.08,0.25,0.590551181102362,0.393700787401575,1,"","&amp;L&amp;6&amp;F / &amp;A / &amp;D",FALSE,FALSE,FALSE,FALSE,1,100,#N/A,#N/A,FALSE,FALSE,"Rwvu.Budget_1996.",#N/A,FALSE,FALSE,FALSE,9,65532,65532,FALSE,FALSE,TRUE,TRUE,TRUE}</definedName>
    <definedName name="arta_1" hidden="1">{TRUE,TRUE,-1.25,-15.5,772.5,492.75,FALSE,FALSE,TRUE,TRUE,0,1,4,1,57,3,5,4,TRUE,TRUE,3,TRUE,1,TRUE,100,"Swvu.Budget_1996.","ACwvu.Budget_1996.",#N/A,FALSE,FALSE,1.08,0.25,0.590551181102362,0.393700787401575,1,"","&amp;L&amp;6&amp;F / &amp;A / &amp;D",FALSE,FALSE,FALSE,FALSE,1,100,#N/A,#N/A,FALSE,FALSE,"Rwvu.Budget_1996.",#N/A,FALSE,FALSE,FALSE,9,65532,65532,FALSE,FALSE,TRUE,TRUE,TRUE}</definedName>
    <definedName name="as" hidden="1">{TRUE,TRUE,-1.25,-15.5,772.5,492.75,FALSE,TRUE,TRUE,TRUE,0,1,#N/A,1,#N/A,12.65,22.0869565217391,1,FALSE,FALSE,3,TRUE,1,FALSE,100,"Swvu.FC_10_Details.","ACwvu.FC_10_Details.",#N/A,FALSE,FALSE,0.78740157480315,0.78740157480315,0.590551181102362,0.393700787401575,1,"","&amp;L&amp;""Arial,Kursiv""&amp;6&amp;F / &amp;A / &amp;D",FALSE,FALSE,FALSE,FALSE,1,100,#N/A,#N/A,"=R1C1:R39C8",FALSE,#N/A,#N/A,FALSE,FALSE,FALSE,9,65532,65532,FALSE,FALSE,TRUE,TRUE,TRUE}</definedName>
    <definedName name="as_1" hidden="1">{TRUE,TRUE,-1.25,-15.5,772.5,492.75,FALSE,TRUE,TRUE,TRUE,0,1,#N/A,1,#N/A,12.65,22.0869565217391,1,FALSE,FALSE,3,TRUE,1,FALSE,100,"Swvu.FC_10_Details.","ACwvu.FC_10_Details.",#N/A,FALSE,FALSE,0.78740157480315,0.78740157480315,0.590551181102362,0.393700787401575,1,"","&amp;L&amp;""Arial,Kursiv""&amp;6&amp;F / &amp;A / &amp;D",FALSE,FALSE,FALSE,FALSE,1,100,#N/A,#N/A,"=R1C1:R39C8",FALSE,#N/A,#N/A,FALSE,FALSE,FALSE,9,65532,65532,FALSE,FALSE,TRUE,TRUE,TRUE}</definedName>
    <definedName name="atahd" hidden="1">{TRUE,TRUE,-1.25,-15.5,772.5,492.75,FALSE,FALSE,TRUE,TRUE,0,1,4,1,57,3,5,4,TRUE,TRUE,3,TRUE,1,TRUE,100,"Swvu.Alles.","ACwvu.Alles.",#N/A,FALSE,FALSE,1.08,0.25,0.590551181102362,0.393700787401575,1,"","&amp;L&amp;6&amp;F / &amp;A / &amp;D",FALSE,FALSE,FALSE,FALSE,1,100,#N/A,#N/A,FALSE,FALSE,#N/A,#N/A,FALSE,FALSE,FALSE,9,65532,65532,FALSE,FALSE,TRUE,TRUE,TRUE}</definedName>
    <definedName name="atahd_1" hidden="1">{TRUE,TRUE,-1.25,-15.5,772.5,492.75,FALSE,FALSE,TRUE,TRUE,0,1,4,1,57,3,5,4,TRUE,TRUE,3,TRUE,1,TRUE,100,"Swvu.Alles.","ACwvu.Alles.",#N/A,FALSE,FALSE,1.08,0.25,0.590551181102362,0.393700787401575,1,"","&amp;L&amp;6&amp;F / &amp;A / &amp;D",FALSE,FALSE,FALSE,FALSE,1,100,#N/A,#N/A,FALSE,FALSE,#N/A,#N/A,FALSE,FALSE,FALSE,9,65532,65532,FALSE,FALSE,TRUE,TRUE,TRUE}</definedName>
    <definedName name="automobile" hidden="1">{TRUE,TRUE,-1.25,-15.5,772.5,492.75,FALSE,FALSE,TRUE,TRUE,0,1,4,1,57,3,5,4,TRUE,TRUE,3,TRUE,1,TRUE,100,"Swvu.Budget_1996.","ACwvu.Budget_1996.",#N/A,FALSE,FALSE,1.08,0.25,0.590551181102362,0.393700787401575,1,"","&amp;L&amp;6&amp;F / &amp;A / &amp;D",FALSE,FALSE,FALSE,FALSE,1,100,#N/A,#N/A,FALSE,FALSE,"Rwvu.Budget_1996.",#N/A,FALSE,FALSE,FALSE,9,65532,65532,FALSE,FALSE,TRUE,TRUE,TRUE}</definedName>
    <definedName name="automobile_1" hidden="1">{TRUE,TRUE,-1.25,-15.5,772.5,492.75,FALSE,FALSE,TRUE,TRUE,0,1,4,1,57,3,5,4,TRUE,TRUE,3,TRUE,1,TRUE,100,"Swvu.Budget_1996.","ACwvu.Budget_1996.",#N/A,FALSE,FALSE,1.08,0.25,0.590551181102362,0.393700787401575,1,"","&amp;L&amp;6&amp;F / &amp;A / &amp;D",FALSE,FALSE,FALSE,FALSE,1,100,#N/A,#N/A,FALSE,FALSE,"Rwvu.Budget_1996.",#N/A,FALSE,FALSE,FALSE,9,65532,65532,FALSE,FALSE,TRUE,TRUE,TRUE}</definedName>
    <definedName name="automobile_1_1" hidden="1">{TRUE,TRUE,-1.25,-15.5,772.5,492.75,FALSE,FALSE,TRUE,TRUE,0,1,4,1,57,3,5,4,TRUE,TRUE,3,TRUE,1,TRUE,100,"Swvu.Budget_1996.","ACwvu.Budget_1996.",#N/A,FALSE,FALSE,1.08,0.25,0.590551181102362,0.393700787401575,1,"","&amp;L&amp;6&amp;F / &amp;A / &amp;D",FALSE,FALSE,FALSE,FALSE,1,100,#N/A,#N/A,FALSE,FALSE,"Rwvu.Budget_1996.",#N/A,FALSE,FALSE,FALSE,9,65532,65532,FALSE,FALSE,TRUE,TRUE,TRUE}</definedName>
    <definedName name="automobile_2" hidden="1">{TRUE,TRUE,-1.25,-15.5,772.5,492.75,FALSE,FALSE,TRUE,TRUE,0,1,4,1,57,3,5,4,TRUE,TRUE,3,TRUE,1,TRUE,100,"Swvu.Budget_1996.","ACwvu.Budget_1996.",#N/A,FALSE,FALSE,1.08,0.25,0.590551181102362,0.393700787401575,1,"","&amp;L&amp;6&amp;F / &amp;A / &amp;D",FALSE,FALSE,FALSE,FALSE,1,100,#N/A,#N/A,FALSE,FALSE,"Rwvu.Budget_1996.",#N/A,FALSE,FALSE,FALSE,9,65532,65532,FALSE,FALSE,TRUE,TRUE,TRUE}</definedName>
    <definedName name="azrzar" hidden="1">{TRUE,TRUE,-1.25,-15.5,772.5,492.75,FALSE,FALSE,TRUE,TRUE,0,1,4,1,57,3,5,4,TRUE,TRUE,3,TRUE,1,TRUE,100,"Swvu.Alles.","ACwvu.Alles.",#N/A,FALSE,FALSE,1.08,0.25,0.590551181102362,0.393700787401575,1,"","&amp;L&amp;6&amp;F / &amp;A / &amp;D",FALSE,FALSE,FALSE,FALSE,1,100,#N/A,#N/A,FALSE,FALSE,#N/A,#N/A,FALSE,FALSE,FALSE,9,65532,65532,FALSE,FALSE,TRUE,TRUE,TRUE}</definedName>
    <definedName name="azrzar_1" hidden="1">{TRUE,TRUE,-1.25,-15.5,772.5,492.75,FALSE,FALSE,TRUE,TRUE,0,1,4,1,57,3,5,4,TRUE,TRUE,3,TRUE,1,TRUE,100,"Swvu.Alles.","ACwvu.Alles.",#N/A,FALSE,FALSE,1.08,0.25,0.590551181102362,0.393700787401575,1,"","&amp;L&amp;6&amp;F / &amp;A / &amp;D",FALSE,FALSE,FALSE,FALSE,1,100,#N/A,#N/A,FALSE,FALSE,#N/A,#N/A,FALSE,FALSE,FALSE,9,65532,65532,FALSE,FALSE,TRUE,TRUE,TRUE}</definedName>
    <definedName name="b">#N/A</definedName>
    <definedName name="b_1" hidden="1">{#N/A,#N/A,FALSE,"V3 Stab-Geb Index";#N/A,#N/A,FALSE,"Vertrieb";#N/A,#N/A,FALSE,"V Daten";#N/A,#N/A,FALSE,"V-Z-Index";#N/A,#N/A,FALSE,"V-1 Daten";#N/A,#N/A,FALSE,"V-1 Index";#N/A,#N/A,FALSE,"V-2 Index";#N/A,#N/A,FALSE,"V-3 Daten";#N/A,#N/A,FALSE,"V3 Stab-Geb Index";#N/A,#N/A,FALSE,"V-3 VG's Index";#N/A,#N/A,FALSE,"V-4 Index";#N/A,#N/A,FALSE,"V-5 Index"}</definedName>
    <definedName name="b_1_1" hidden="1">{#N/A,#N/A,FALSE,"V3 Stab-Geb Index";#N/A,#N/A,FALSE,"Vertrieb";#N/A,#N/A,FALSE,"V Daten";#N/A,#N/A,FALSE,"V-Z-Index";#N/A,#N/A,FALSE,"V-1 Daten";#N/A,#N/A,FALSE,"V-1 Index";#N/A,#N/A,FALSE,"V-2 Index";#N/A,#N/A,FALSE,"V-3 Daten";#N/A,#N/A,FALSE,"V3 Stab-Geb Index";#N/A,#N/A,FALSE,"V-3 VG's Index";#N/A,#N/A,FALSE,"V-4 Index";#N/A,#N/A,FALSE,"V-5 Index"}</definedName>
    <definedName name="bébé">#REF!</definedName>
    <definedName name="blubb3" hidden="1">#N/A</definedName>
    <definedName name="c_1" hidden="1">{TRUE,TRUE,-1.25,-15.5,772.5,492.75,FALSE,FALSE,TRUE,TRUE,0,1,4,1,57,3,5,4,TRUE,TRUE,3,TRUE,1,TRUE,100,"Swvu.Budget_1997.","ACwvu.Budget_1997.",#N/A,FALSE,FALSE,1.08,0.25,0.590551181102362,0.393700787401575,1,"","&amp;L&amp;6&amp;F / &amp;A / &amp;D",FALSE,FALSE,FALSE,FALSE,1,100,#N/A,#N/A,FALSE,FALSE,"Rwvu.Budget_1997.",#N/A,FALSE,FALSE,FALSE,9,65532,65532,FALSE,FALSE,TRUE,TRUE,TRUE}</definedName>
    <definedName name="c_1_1" hidden="1">{TRUE,TRUE,-1.25,-15.5,772.5,492.75,FALSE,FALSE,TRUE,TRUE,0,1,4,1,57,3,5,4,TRUE,TRUE,3,TRUE,1,TRUE,100,"Swvu.Budget_1997.","ACwvu.Budget_1997.",#N/A,FALSE,FALSE,1.08,0.25,0.590551181102362,0.393700787401575,1,"","&amp;L&amp;6&amp;F / &amp;A / &amp;D",FALSE,FALSE,FALSE,FALSE,1,100,#N/A,#N/A,FALSE,FALSE,"Rwvu.Budget_1997.",#N/A,FALSE,FALSE,FALSE,9,65532,65532,FALSE,FALSE,TRUE,TRUE,TRUE}</definedName>
    <definedName name="ChoixTraçage">#REF!</definedName>
    <definedName name="CIQWBGuid" hidden="1">"3bfbc67a-e70e-4707-ba77-62599329f6c4"</definedName>
    <definedName name="COMPTE_D_EXPLOITATION_PAR_BRANCHE">#REF!</definedName>
    <definedName name="CST">#REF!</definedName>
    <definedName name="CST_2006">#REF!</definedName>
    <definedName name="D">{#N/A,#N/A,FALSE,"bel";#N/A,#N/A,FALSE,"neth"}</definedName>
    <definedName name="d_1" hidden="1">{TRUE,TRUE,-1.25,-15.5,772.5,492.75,FALSE,TRUE,TRUE,TRUE,0,1,#N/A,1,#N/A,12.7125,22.0869565217391,1,FALSE,FALSE,3,TRUE,1,FALSE,100,"Swvu.Ergebnisüberleitung.","ACwvu.Ergebnisüberleitung.",#N/A,FALSE,FALSE,0.78740157480315,0.78740157480315,0.590551181102362,0.393700787401575,1,"","&amp;L&amp;""Arial,Kursiv""&amp;6&amp;F / &amp;A / &amp;D",FALSE,FALSE,FALSE,FALSE,1,100,#N/A,#N/A,"=R1C1:R39C8",FALSE,"Rwvu.Ergebnisüberleitung.",#N/A,FALSE,FALSE,TRUE,9,65532,65532,FALSE,FALSE,TRUE,TRUE,TRUE}</definedName>
    <definedName name="d_1_1" hidden="1">{TRUE,TRUE,-1.25,-15.5,772.5,492.75,FALSE,TRUE,TRUE,TRUE,0,1,#N/A,1,#N/A,12.7125,22.0869565217391,1,FALSE,FALSE,3,TRUE,1,FALSE,100,"Swvu.Ergebnisüberleitung.","ACwvu.Ergebnisüberleitung.",#N/A,FALSE,FALSE,0.78740157480315,0.78740157480315,0.590551181102362,0.393700787401575,1,"","&amp;L&amp;""Arial,Kursiv""&amp;6&amp;F / &amp;A / &amp;D",FALSE,FALSE,FALSE,FALSE,1,100,#N/A,#N/A,"=R1C1:R39C8",FALSE,"Rwvu.Ergebnisüberleitung.",#N/A,FALSE,FALSE,TRUE,9,65532,65532,FALSE,FALSE,TRUE,TRUE,TRUE}</definedName>
    <definedName name="d_2" hidden="1">{#N/A,#N/A,FALSE,"bel";#N/A,#N/A,FALSE,"neth"}</definedName>
    <definedName name="_xlnm.Database">#REF!</definedName>
    <definedName name="DatesGraphiques">CHOOSE(TableauGraphique,#REF!,#REF!)</definedName>
    <definedName name="dcrutu" hidden="1">{TRUE,TRUE,-1.25,-15.5,772.5,492.75,FALSE,TRUE,TRUE,TRUE,0,1,#N/A,1,#N/A,12.65,22.0869565217391,1,FALSE,FALSE,3,TRUE,1,FALSE,100,"Swvu.FC_10_Details.","ACwvu.FC_10_Details.",#N/A,FALSE,FALSE,0.78740157480315,0.78740157480315,0.590551181102362,0.393700787401575,1,"","&amp;L&amp;""Arial,Kursiv""&amp;6&amp;F / &amp;A / &amp;D",FALSE,FALSE,FALSE,FALSE,1,100,#N/A,#N/A,"=R1C1:R39C8",FALSE,#N/A,#N/A,FALSE,FALSE,FALSE,9,65532,65532,FALSE,FALSE,TRUE,TRUE,TRUE}</definedName>
    <definedName name="dcrutu_1" hidden="1">{TRUE,TRUE,-1.25,-15.5,772.5,492.75,FALSE,TRUE,TRUE,TRUE,0,1,#N/A,1,#N/A,12.65,22.0869565217391,1,FALSE,FALSE,3,TRUE,1,FALSE,100,"Swvu.FC_10_Details.","ACwvu.FC_10_Details.",#N/A,FALSE,FALSE,0.78740157480315,0.78740157480315,0.590551181102362,0.393700787401575,1,"","&amp;L&amp;""Arial,Kursiv""&amp;6&amp;F / &amp;A / &amp;D",FALSE,FALSE,FALSE,FALSE,1,100,#N/A,#N/A,"=R1C1:R39C8",FALSE,#N/A,#N/A,FALSE,FALSE,FALSE,9,65532,65532,FALSE,FALSE,TRUE,TRUE,TRUE}</definedName>
    <definedName name="dcrutu_1_1" hidden="1">{TRUE,TRUE,-1.25,-15.5,772.5,492.75,FALSE,TRUE,TRUE,TRUE,0,1,#N/A,1,#N/A,12.65,22.0869565217391,1,FALSE,FALSE,3,TRUE,1,FALSE,100,"Swvu.FC_10_Details.","ACwvu.FC_10_Details.",#N/A,FALSE,FALSE,0.78740157480315,0.78740157480315,0.590551181102362,0.393700787401575,1,"","&amp;L&amp;""Arial,Kursiv""&amp;6&amp;F / &amp;A / &amp;D",FALSE,FALSE,FALSE,FALSE,1,100,#N/A,#N/A,"=R1C1:R39C8",FALSE,#N/A,#N/A,FALSE,FALSE,FALSE,9,65532,65532,FALSE,FALSE,TRUE,TRUE,TRUE}</definedName>
    <definedName name="dcrutu_2" hidden="1">{TRUE,TRUE,-1.25,-15.5,772.5,492.75,FALSE,TRUE,TRUE,TRUE,0,1,#N/A,1,#N/A,12.65,22.0869565217391,1,FALSE,FALSE,3,TRUE,1,FALSE,100,"Swvu.FC_10_Details.","ACwvu.FC_10_Details.",#N/A,FALSE,FALSE,0.78740157480315,0.78740157480315,0.590551181102362,0.393700787401575,1,"","&amp;L&amp;""Arial,Kursiv""&amp;6&amp;F / &amp;A / &amp;D",FALSE,FALSE,FALSE,FALSE,1,100,#N/A,#N/A,"=R1C1:R39C8",FALSE,#N/A,#N/A,FALSE,FALSE,FALSE,9,65532,65532,FALSE,FALSE,TRUE,TRUE,TRUE}</definedName>
    <definedName name="dda" hidden="1">Main.SAPF4Help()</definedName>
    <definedName name="dfA" hidden="1">{TRUE,TRUE,-1.25,-15.5,772.5,492.75,FALSE,FALSE,TRUE,TRUE,0,1,4,1,57,3,5,4,TRUE,TRUE,3,TRUE,1,TRUE,100,"Swvu.Budget_1996.","ACwvu.Budget_1996.",#N/A,FALSE,FALSE,1.08,0.25,0.590551181102362,0.393700787401575,1,"","&amp;L&amp;6&amp;F / &amp;A / &amp;D",FALSE,FALSE,FALSE,FALSE,1,100,#N/A,#N/A,FALSE,FALSE,"Rwvu.Budget_1996.",#N/A,FALSE,FALSE,FALSE,9,65532,65532,FALSE,FALSE,TRUE,TRUE,TRUE}</definedName>
    <definedName name="dfA_1" hidden="1">{TRUE,TRUE,-1.25,-15.5,772.5,492.75,FALSE,FALSE,TRUE,TRUE,0,1,4,1,57,3,5,4,TRUE,TRUE,3,TRUE,1,TRUE,100,"Swvu.Budget_1996.","ACwvu.Budget_1996.",#N/A,FALSE,FALSE,1.08,0.25,0.590551181102362,0.393700787401575,1,"","&amp;L&amp;6&amp;F / &amp;A / &amp;D",FALSE,FALSE,FALSE,FALSE,1,100,#N/A,#N/A,FALSE,FALSE,"Rwvu.Budget_1996.",#N/A,FALSE,FALSE,FALSE,9,65532,65532,FALSE,FALSE,TRUE,TRUE,TRUE}</definedName>
    <definedName name="dfbg" hidden="1">{#N/A,#N/A,FALSE,"V3 Stab-Geb Index";#N/A,#N/A,FALSE,"Vertrieb";#N/A,#N/A,FALSE,"V Daten";#N/A,#N/A,FALSE,"V-Z-Index";#N/A,#N/A,FALSE,"V-1 Daten";#N/A,#N/A,FALSE,"V-1 Index";#N/A,#N/A,FALSE,"V-2 Index";#N/A,#N/A,FALSE,"V-3 Daten";#N/A,#N/A,FALSE,"V3 Stab-Geb Index";#N/A,#N/A,FALSE,"V-3 VG's Index";#N/A,#N/A,FALSE,"V-4 Index";#N/A,#N/A,FALSE,"V-5 Index"}</definedName>
    <definedName name="dfbg_1" hidden="1">{#N/A,#N/A,FALSE,"V3 Stab-Geb Index";#N/A,#N/A,FALSE,"Vertrieb";#N/A,#N/A,FALSE,"V Daten";#N/A,#N/A,FALSE,"V-Z-Index";#N/A,#N/A,FALSE,"V-1 Daten";#N/A,#N/A,FALSE,"V-1 Index";#N/A,#N/A,FALSE,"V-2 Index";#N/A,#N/A,FALSE,"V-3 Daten";#N/A,#N/A,FALSE,"V3 Stab-Geb Index";#N/A,#N/A,FALSE,"V-3 VG's Index";#N/A,#N/A,FALSE,"V-4 Index";#N/A,#N/A,FALSE,"V-5 Index"}</definedName>
    <definedName name="dfgderzeer5z" hidden="1">{TRUE,TRUE,-1.25,-15.5,772.5,492.75,FALSE,FALSE,TRUE,TRUE,0,1,4,1,57,3,5,4,TRUE,TRUE,3,TRUE,1,TRUE,100,"Swvu.Budget_1997.","ACwvu.Budget_1997.",#N/A,FALSE,FALSE,1.08,0.25,0.590551181102362,0.393700787401575,1,"","&amp;L&amp;6&amp;F / &amp;A / &amp;D",FALSE,FALSE,FALSE,FALSE,1,100,#N/A,#N/A,FALSE,FALSE,"Rwvu.Budget_1997.",#N/A,FALSE,FALSE,FALSE,9,65532,65532,FALSE,FALSE,TRUE,TRUE,TRUE}</definedName>
    <definedName name="dfgderzeer5z_1" hidden="1">{TRUE,TRUE,-1.25,-15.5,772.5,492.75,FALSE,FALSE,TRUE,TRUE,0,1,4,1,57,3,5,4,TRUE,TRUE,3,TRUE,1,TRUE,100,"Swvu.Budget_1997.","ACwvu.Budget_1997.",#N/A,FALSE,FALSE,1.08,0.25,0.590551181102362,0.393700787401575,1,"","&amp;L&amp;6&amp;F / &amp;A / &amp;D",FALSE,FALSE,FALSE,FALSE,1,100,#N/A,#N/A,FALSE,FALSE,"Rwvu.Budget_1997.",#N/A,FALSE,FALSE,FALSE,9,65532,65532,FALSE,FALSE,TRUE,TRUE,TRUE}</definedName>
    <definedName name="dfgderzeer5z_1_1" hidden="1">{TRUE,TRUE,-1.25,-15.5,772.5,492.75,FALSE,FALSE,TRUE,TRUE,0,1,4,1,57,3,5,4,TRUE,TRUE,3,TRUE,1,TRUE,100,"Swvu.Budget_1997.","ACwvu.Budget_1997.",#N/A,FALSE,FALSE,1.08,0.25,0.590551181102362,0.393700787401575,1,"","&amp;L&amp;6&amp;F / &amp;A / &amp;D",FALSE,FALSE,FALSE,FALSE,1,100,#N/A,#N/A,FALSE,FALSE,"Rwvu.Budget_1997.",#N/A,FALSE,FALSE,FALSE,9,65532,65532,FALSE,FALSE,TRUE,TRUE,TRUE}</definedName>
    <definedName name="dfgderzeer5z_2" hidden="1">{TRUE,TRUE,-1.25,-15.5,772.5,492.75,FALSE,FALSE,TRUE,TRUE,0,1,4,1,57,3,5,4,TRUE,TRUE,3,TRUE,1,TRUE,100,"Swvu.Budget_1997.","ACwvu.Budget_1997.",#N/A,FALSE,FALSE,1.08,0.25,0.590551181102362,0.393700787401575,1,"","&amp;L&amp;6&amp;F / &amp;A / &amp;D",FALSE,FALSE,FALSE,FALSE,1,100,#N/A,#N/A,FALSE,FALSE,"Rwvu.Budget_1997.",#N/A,FALSE,FALSE,FALSE,9,65532,65532,FALSE,FALSE,TRUE,TRUE,TRUE}</definedName>
    <definedName name="dfgsdgsdfgsdfg" hidden="1">{TRUE,TRUE,-1.25,-15.5,772.5,492.75,FALSE,FALSE,TRUE,TRUE,0,1,4,1,57,3,5,4,TRUE,TRUE,3,TRUE,1,TRUE,100,"Swvu.Budget_1996.","ACwvu.Budget_1996.",#N/A,FALSE,FALSE,1.08,0.25,0.590551181102362,0.393700787401575,1,"","&amp;L&amp;6&amp;F / &amp;A / &amp;D",FALSE,FALSE,FALSE,FALSE,1,100,#N/A,#N/A,FALSE,FALSE,"Rwvu.Budget_1996.",#N/A,FALSE,FALSE,FALSE,9,65532,65532,FALSE,FALSE,TRUE,TRUE,TRUE}</definedName>
    <definedName name="dfgsdgsdfgsdfg_1" hidden="1">{TRUE,TRUE,-1.25,-15.5,772.5,492.75,FALSE,FALSE,TRUE,TRUE,0,1,4,1,57,3,5,4,TRUE,TRUE,3,TRUE,1,TRUE,100,"Swvu.Budget_1996.","ACwvu.Budget_1996.",#N/A,FALSE,FALSE,1.08,0.25,0.590551181102362,0.393700787401575,1,"","&amp;L&amp;6&amp;F / &amp;A / &amp;D",FALSE,FALSE,FALSE,FALSE,1,100,#N/A,#N/A,FALSE,FALSE,"Rwvu.Budget_1996.",#N/A,FALSE,FALSE,FALSE,9,65532,65532,FALSE,FALSE,TRUE,TRUE,TRUE}</definedName>
    <definedName name="dgs" hidden="1">{TRUE,TRUE,-1.25,-15.5,772.5,492.75,FALSE,FALSE,TRUE,TRUE,0,1,4,1,57,3,5,4,TRUE,TRUE,3,TRUE,1,TRUE,100,"Swvu.Budget_1996.","ACwvu.Budget_1996.",#N/A,FALSE,FALSE,1.08,0.25,0.590551181102362,0.393700787401575,1,"","&amp;L&amp;6&amp;F / &amp;A / &amp;D",FALSE,FALSE,FALSE,FALSE,1,100,#N/A,#N/A,FALSE,FALSE,"Rwvu.Budget_1996.",#N/A,FALSE,FALSE,FALSE,9,65532,65532,FALSE,FALSE,TRUE,TRUE,TRUE}</definedName>
    <definedName name="dgs_1" hidden="1">{TRUE,TRUE,-1.25,-15.5,772.5,492.75,FALSE,FALSE,TRUE,TRUE,0,1,4,1,57,3,5,4,TRUE,TRUE,3,TRUE,1,TRUE,100,"Swvu.Budget_1996.","ACwvu.Budget_1996.",#N/A,FALSE,FALSE,1.08,0.25,0.590551181102362,0.393700787401575,1,"","&amp;L&amp;6&amp;F / &amp;A / &amp;D",FALSE,FALSE,FALSE,FALSE,1,100,#N/A,#N/A,FALSE,FALSE,"Rwvu.Budget_1996.",#N/A,FALSE,FALSE,FALSE,9,65532,65532,FALSE,FALSE,TRUE,TRUE,TRUE}</definedName>
    <definedName name="djm" hidden="1">{TRUE,TRUE,-1.25,-15.5,772.5,492.75,FALSE,FALSE,TRUE,TRUE,0,1,4,1,57,3,5,4,TRUE,TRUE,3,TRUE,1,TRUE,100,"Swvu.Alles.","ACwvu.Alles.",#N/A,FALSE,FALSE,1.08,0.25,0.590551181102362,0.393700787401575,1,"","&amp;L&amp;6&amp;F / &amp;A / &amp;D",FALSE,FALSE,FALSE,FALSE,1,100,#N/A,#N/A,FALSE,FALSE,#N/A,#N/A,FALSE,FALSE,FALSE,9,65532,65532,FALSE,FALSE,TRUE,TRUE,TRUE}</definedName>
    <definedName name="djm_1" hidden="1">{TRUE,TRUE,-1.25,-15.5,772.5,492.75,FALSE,FALSE,TRUE,TRUE,0,1,4,1,57,3,5,4,TRUE,TRUE,3,TRUE,1,TRUE,100,"Swvu.Alles.","ACwvu.Alles.",#N/A,FALSE,FALSE,1.08,0.25,0.590551181102362,0.393700787401575,1,"","&amp;L&amp;6&amp;F / &amp;A / &amp;D",FALSE,FALSE,FALSE,FALSE,1,100,#N/A,#N/A,FALSE,FALSE,#N/A,#N/A,FALSE,FALSE,FALSE,9,65532,65532,FALSE,FALSE,TRUE,TRUE,TRUE}</definedName>
    <definedName name="Données_brutes">#REF!</definedName>
    <definedName name="Données_volume">#REF!</definedName>
    <definedName name="Données_volume_2">#REF!</definedName>
    <definedName name="Données_volume_3">#REF!</definedName>
    <definedName name="Données_volume_5">#REF!</definedName>
    <definedName name="Donnéesbrutes">#REF!</definedName>
    <definedName name="Donnéesbrutes_2">#REF!</definedName>
    <definedName name="Donnéesbrutes_3">#REF!</definedName>
    <definedName name="Donnéesbrutes_5">#REF!</definedName>
    <definedName name="DonnéesCNAM">#REF!</definedName>
    <definedName name="DonnéesCNAM_2">#REF!</definedName>
    <definedName name="DonnéesCNAM_3">#REF!</definedName>
    <definedName name="DonnéesCNAM_5">#REF!</definedName>
    <definedName name="DonnéesCVS">#REF!</definedName>
    <definedName name="DonnéesDemetra_CT">#REF!</definedName>
    <definedName name="DonnéesDemetra_CT_2">#REF!</definedName>
    <definedName name="DonnéesDemetra_CT_3">#REF!</definedName>
    <definedName name="DonnéesDemetra_CT_5">#REF!</definedName>
    <definedName name="dsgds" hidden="1">{TRUE,TRUE,-1.25,-15.5,772.5,492.75,FALSE,TRUE,TRUE,TRUE,0,1,#N/A,1,#N/A,12.7125,22.0869565217391,1,FALSE,FALSE,3,TRUE,1,FALSE,100,"Swvu.Ergebnisüberleitung.","ACwvu.Ergebnisüberleitung.",#N/A,FALSE,FALSE,0.78740157480315,0.78740157480315,0.590551181102362,0.393700787401575,1,"","&amp;L&amp;""Arial,Kursiv""&amp;6&amp;F / &amp;A / &amp;D",FALSE,FALSE,FALSE,FALSE,1,100,#N/A,#N/A,"=R1C1:R39C8",FALSE,"Rwvu.Ergebnisüberleitung.",#N/A,FALSE,FALSE,TRUE,9,65532,65532,FALSE,FALSE,TRUE,TRUE,TRUE}</definedName>
    <definedName name="dsgds_1" hidden="1">{TRUE,TRUE,-1.25,-15.5,772.5,492.75,FALSE,TRUE,TRUE,TRUE,0,1,#N/A,1,#N/A,12.7125,22.0869565217391,1,FALSE,FALSE,3,TRUE,1,FALSE,100,"Swvu.Ergebnisüberleitung.","ACwvu.Ergebnisüberleitung.",#N/A,FALSE,FALSE,0.78740157480315,0.78740157480315,0.590551181102362,0.393700787401575,1,"","&amp;L&amp;""Arial,Kursiv""&amp;6&amp;F / &amp;A / &amp;D",FALSE,FALSE,FALSE,FALSE,1,100,#N/A,#N/A,"=R1C1:R39C8",FALSE,"Rwvu.Ergebnisüberleitung.",#N/A,FALSE,FALSE,TRUE,9,65532,65532,FALSE,FALSE,TRUE,TRUE,TRUE}</definedName>
    <definedName name="dtzzkj" hidden="1">{TRUE,TRUE,-1.25,-15.5,772.5,492.75,FALSE,TRUE,TRUE,TRUE,0,1,#N/A,1,#N/A,12.65,22.0869565217391,1,FALSE,FALSE,3,TRUE,1,FALSE,100,"Swvu.FC_10_Details.","ACwvu.FC_10_Details.",#N/A,FALSE,FALSE,0.78740157480315,0.78740157480315,0.590551181102362,0.393700787401575,1,"","&amp;L&amp;""Arial,Kursiv""&amp;6&amp;F / &amp;A / &amp;D",FALSE,FALSE,FALSE,FALSE,1,100,#N/A,#N/A,"=R1C1:R39C8",FALSE,#N/A,#N/A,FALSE,FALSE,FALSE,9,65532,65532,FALSE,FALSE,TRUE,TRUE,TRUE}</definedName>
    <definedName name="dtzzkj_1" hidden="1">{TRUE,TRUE,-1.25,-15.5,772.5,492.75,FALSE,TRUE,TRUE,TRUE,0,1,#N/A,1,#N/A,12.65,22.0869565217391,1,FALSE,FALSE,3,TRUE,1,FALSE,100,"Swvu.FC_10_Details.","ACwvu.FC_10_Details.",#N/A,FALSE,FALSE,0.78740157480315,0.78740157480315,0.590551181102362,0.393700787401575,1,"","&amp;L&amp;""Arial,Kursiv""&amp;6&amp;F / &amp;A / &amp;D",FALSE,FALSE,FALSE,FALSE,1,100,#N/A,#N/A,"=R1C1:R39C8",FALSE,#N/A,#N/A,FALSE,FALSE,FALSE,9,65532,65532,FALSE,FALSE,TRUE,TRUE,TRUE}</definedName>
    <definedName name="EInheiten" hidden="1">{TRUE,TRUE,-1.25,-15.5,772.5,492.75,FALSE,FALSE,TRUE,TRUE,0,1,4,1,57,3,5,4,TRUE,TRUE,3,TRUE,1,TRUE,100,"Swvu.Budget_1997.","ACwvu.Budget_1997.",#N/A,FALSE,FALSE,1.08,0.25,0.590551181102362,0.393700787401575,1,"","&amp;L&amp;6&amp;F / &amp;A / &amp;D",FALSE,FALSE,FALSE,FALSE,1,100,#N/A,#N/A,FALSE,FALSE,"Rwvu.Budget_1997.",#N/A,FALSE,FALSE,FALSE,9,65532,65532,FALSE,FALSE,TRUE,TRUE,TRUE}</definedName>
    <definedName name="EInheiten_1" hidden="1">{TRUE,TRUE,-1.25,-15.5,772.5,492.75,FALSE,FALSE,TRUE,TRUE,0,1,4,1,57,3,5,4,TRUE,TRUE,3,TRUE,1,TRUE,100,"Swvu.Budget_1997.","ACwvu.Budget_1997.",#N/A,FALSE,FALSE,1.08,0.25,0.590551181102362,0.393700787401575,1,"","&amp;L&amp;6&amp;F / &amp;A / &amp;D",FALSE,FALSE,FALSE,FALSE,1,100,#N/A,#N/A,FALSE,FALSE,"Rwvu.Budget_1997.",#N/A,FALSE,FALSE,FALSE,9,65532,65532,FALSE,FALSE,TRUE,TRUE,TRUE}</definedName>
    <definedName name="EInheiten_1_1" hidden="1">{TRUE,TRUE,-1.25,-15.5,772.5,492.75,FALSE,FALSE,TRUE,TRUE,0,1,4,1,57,3,5,4,TRUE,TRUE,3,TRUE,1,TRUE,100,"Swvu.Budget_1997.","ACwvu.Budget_1997.",#N/A,FALSE,FALSE,1.08,0.25,0.590551181102362,0.393700787401575,1,"","&amp;L&amp;6&amp;F / &amp;A / &amp;D",FALSE,FALSE,FALSE,FALSE,1,100,#N/A,#N/A,FALSE,FALSE,"Rwvu.Budget_1997.",#N/A,FALSE,FALSE,FALSE,9,65532,65532,FALSE,FALSE,TRUE,TRUE,TRUE}</definedName>
    <definedName name="EInheiten_2" hidden="1">{TRUE,TRUE,-1.25,-15.5,772.5,492.75,FALSE,FALSE,TRUE,TRUE,0,1,4,1,57,3,5,4,TRUE,TRUE,3,TRUE,1,TRUE,100,"Swvu.Budget_1997.","ACwvu.Budget_1997.",#N/A,FALSE,FALSE,1.08,0.25,0.590551181102362,0.393700787401575,1,"","&amp;L&amp;6&amp;F / &amp;A / &amp;D",FALSE,FALSE,FALSE,FALSE,1,100,#N/A,#N/A,FALSE,FALSE,"Rwvu.Budget_1997.",#N/A,FALSE,FALSE,FALSE,9,65532,65532,FALSE,FALSE,TRUE,TRUE,TRUE}</definedName>
    <definedName name="er" hidden="1">{#N/A,#N/A,FALSE,"Report-Generator";#N/A,#N/A,FALSE,"Page 1 Summary";#N/A,#N/A,FALSE,"Page 2 IRR";#N/A,#N/A,FALSE,"Page 3a Volume Profile";#N/A,#N/A,FALSE,"Page 3b Volume Profile";#N/A,#N/A,FALSE,"Page 3c Volume Profile";#N/A,#N/A,FALSE,"Page 4 Volume Profile, Mix";#N/A,#N/A,FALSE,"Page 5 Product Investment";#N/A,#N/A,FALSE,"Page 6 Variable Costs";#N/A,#N/A,FALSE,"Page 7 Contribution Comparison1";#N/A,#N/A,FALSE,"Page 8 Contribution Comparison2";#N/A,#N/A,FALSE,"Page 9 Contribution Comparison3";#N/A,#N/A,FALSE,"Page 10 IRR Calculation"}</definedName>
    <definedName name="er_1" hidden="1">{#N/A,#N/A,FALSE,"Report-Generator";#N/A,#N/A,FALSE,"Page 1 Summary";#N/A,#N/A,FALSE,"Page 2 IRR";#N/A,#N/A,FALSE,"Page 3a Volume Profile";#N/A,#N/A,FALSE,"Page 3b Volume Profile";#N/A,#N/A,FALSE,"Page 3c Volume Profile";#N/A,#N/A,FALSE,"Page 4 Volume Profile, Mix";#N/A,#N/A,FALSE,"Page 5 Product Investment";#N/A,#N/A,FALSE,"Page 6 Variable Costs";#N/A,#N/A,FALSE,"Page 7 Contribution Comparison1";#N/A,#N/A,FALSE,"Page 8 Contribution Comparison2";#N/A,#N/A,FALSE,"Page 9 Contribution Comparison3";#N/A,#N/A,FALSE,"Page 10 IRR Calculation"}</definedName>
    <definedName name="ergebni" hidden="1">{TRUE,TRUE,-1.25,-15.5,772.5,492.75,FALSE,TRUE,TRUE,TRUE,0,1,#N/A,1,#N/A,12.65,22.0869565217391,1,FALSE,FALSE,3,TRUE,1,FALSE,100,"Swvu.FC_10_Details.","ACwvu.FC_10_Details.",#N/A,FALSE,FALSE,0.78740157480315,0.78740157480315,0.590551181102362,0.393700787401575,1,"","&amp;L&amp;""Arial,Kursiv""&amp;6&amp;F / &amp;A / &amp;D",FALSE,FALSE,FALSE,FALSE,1,100,#N/A,#N/A,"=R1C1:R39C8",FALSE,#N/A,#N/A,FALSE,FALSE,FALSE,9,65532,65532,FALSE,FALSE,TRUE,TRUE,TRUE}</definedName>
    <definedName name="ergebni_1" hidden="1">{TRUE,TRUE,-1.25,-15.5,772.5,492.75,FALSE,TRUE,TRUE,TRUE,0,1,#N/A,1,#N/A,12.65,22.0869565217391,1,FALSE,FALSE,3,TRUE,1,FALSE,100,"Swvu.FC_10_Details.","ACwvu.FC_10_Details.",#N/A,FALSE,FALSE,0.78740157480315,0.78740157480315,0.590551181102362,0.393700787401575,1,"","&amp;L&amp;""Arial,Kursiv""&amp;6&amp;F / &amp;A / &amp;D",FALSE,FALSE,FALSE,FALSE,1,100,#N/A,#N/A,"=R1C1:R39C8",FALSE,#N/A,#N/A,FALSE,FALSE,FALSE,9,65532,65532,FALSE,FALSE,TRUE,TRUE,TRUE}</definedName>
    <definedName name="ergebnis" hidden="1">{TRUE,TRUE,-1.25,-15.5,772.5,492.75,FALSE,TRUE,TRUE,TRUE,0,1,#N/A,1,#N/A,12.65,22.0869565217391,1,FALSE,FALSE,3,TRUE,1,FALSE,100,"Swvu.FC_10_Details.","ACwvu.FC_10_Details.",#N/A,FALSE,FALSE,0.78740157480315,0.78740157480315,0.590551181102362,0.393700787401575,1,"","&amp;L&amp;""Arial,Kursiv""&amp;6&amp;F / &amp;A / &amp;D",FALSE,FALSE,FALSE,FALSE,1,100,#N/A,#N/A,"=R1C1:R39C8",FALSE,#N/A,#N/A,FALSE,FALSE,FALSE,9,65532,65532,FALSE,FALSE,TRUE,TRUE,TRUE}</definedName>
    <definedName name="ergebnis_1" hidden="1">{TRUE,TRUE,-1.25,-15.5,772.5,492.75,FALSE,TRUE,TRUE,TRUE,0,1,#N/A,1,#N/A,12.65,22.0869565217391,1,FALSE,FALSE,3,TRUE,1,FALSE,100,"Swvu.FC_10_Details.","ACwvu.FC_10_Details.",#N/A,FALSE,FALSE,0.78740157480315,0.78740157480315,0.590551181102362,0.393700787401575,1,"","&amp;L&amp;""Arial,Kursiv""&amp;6&amp;F / &amp;A / &amp;D",FALSE,FALSE,FALSE,FALSE,1,100,#N/A,#N/A,"=R1C1:R39C8",FALSE,#N/A,#N/A,FALSE,FALSE,FALSE,9,65532,65532,FALSE,FALSE,TRUE,TRUE,TRUE}</definedName>
    <definedName name="ergebnis_1_1" hidden="1">{TRUE,TRUE,-1.25,-15.5,772.5,492.75,FALSE,TRUE,TRUE,TRUE,0,1,#N/A,1,#N/A,12.65,22.0869565217391,1,FALSE,FALSE,3,TRUE,1,FALSE,100,"Swvu.FC_10_Details.","ACwvu.FC_10_Details.",#N/A,FALSE,FALSE,0.78740157480315,0.78740157480315,0.590551181102362,0.393700787401575,1,"","&amp;L&amp;""Arial,Kursiv""&amp;6&amp;F / &amp;A / &amp;D",FALSE,FALSE,FALSE,FALSE,1,100,#N/A,#N/A,"=R1C1:R39C8",FALSE,#N/A,#N/A,FALSE,FALSE,FALSE,9,65532,65532,FALSE,FALSE,TRUE,TRUE,TRUE}</definedName>
    <definedName name="ergebnis_2" hidden="1">{TRUE,TRUE,-1.25,-15.5,772.5,492.75,FALSE,TRUE,TRUE,TRUE,0,1,#N/A,1,#N/A,12.65,22.0869565217391,1,FALSE,FALSE,3,TRUE,1,FALSE,100,"Swvu.FC_10_Details.","ACwvu.FC_10_Details.",#N/A,FALSE,FALSE,0.78740157480315,0.78740157480315,0.590551181102362,0.393700787401575,1,"","&amp;L&amp;""Arial,Kursiv""&amp;6&amp;F / &amp;A / &amp;D",FALSE,FALSE,FALSE,FALSE,1,100,#N/A,#N/A,"=R1C1:R39C8",FALSE,#N/A,#N/A,FALSE,FALSE,FALSE,9,65532,65532,FALSE,FALSE,TRUE,TRUE,TRUE}</definedName>
    <definedName name="F">{TRUE,TRUE,-1.25,-15.5,772.5,492.75,FALSE,FALSE,TRUE,TRUE,0,1,4,1,57,3,5,4,TRUE,TRUE,3,TRUE,1,TRUE,100,"Swvu.Budget_1997.","ACwvu.Budget_1997.",#N/A,FALSE,FALSE,1.08,0.25,0.590551181102362,0.393700787401575,1,"","&amp;L&amp;6&amp;F / &amp;A / &amp;D",FALSE,FALSE,FALSE,FALSE,1,100,#N/A,#N/A,FALSE,FALSE,"Rwvu.Budget_1997.",#N/A,FALSE,FALSE,FALSE,9,65532,65532,FALSE,FALSE,TRUE,TRUE,TRUE}</definedName>
    <definedName name="f_1" hidden="1">{TRUE,TRUE,-1.25,-15.5,772.5,492.75,FALSE,FALSE,TRUE,TRUE,0,1,4,1,57,3,5,4,TRUE,TRUE,3,TRUE,1,TRUE,100,"Swvu.Budget_1997.","ACwvu.Budget_1997.",#N/A,FALSE,FALSE,1.08,0.25,0.590551181102362,0.393700787401575,1,"","&amp;L&amp;6&amp;F / &amp;A / &amp;D",FALSE,FALSE,FALSE,FALSE,1,100,#N/A,#N/A,FALSE,FALSE,"Rwvu.Budget_1997.",#N/A,FALSE,FALSE,FALSE,9,65532,65532,FALSE,FALSE,TRUE,TRUE,TRUE}</definedName>
    <definedName name="fgsdhhj" hidden="1">{TRUE,TRUE,-1.25,-15.5,772.5,492.75,FALSE,TRUE,TRUE,TRUE,0,1,#N/A,1,#N/A,12.65,22.0869565217391,1,FALSE,FALSE,3,TRUE,1,FALSE,100,"Swvu.FC_10_Details.","ACwvu.FC_10_Details.",#N/A,FALSE,FALSE,0.78740157480315,0.78740157480315,0.590551181102362,0.393700787401575,1,"","&amp;L&amp;""Arial,Kursiv""&amp;6&amp;F / &amp;A / &amp;D",FALSE,FALSE,FALSE,FALSE,1,100,#N/A,#N/A,"=R1C1:R39C8",FALSE,#N/A,#N/A,FALSE,FALSE,FALSE,9,65532,65532,FALSE,FALSE,TRUE,TRUE,TRUE}</definedName>
    <definedName name="fgsdhhj_1" hidden="1">{TRUE,TRUE,-1.25,-15.5,772.5,492.75,FALSE,TRUE,TRUE,TRUE,0,1,#N/A,1,#N/A,12.65,22.0869565217391,1,FALSE,FALSE,3,TRUE,1,FALSE,100,"Swvu.FC_10_Details.","ACwvu.FC_10_Details.",#N/A,FALSE,FALSE,0.78740157480315,0.78740157480315,0.590551181102362,0.393700787401575,1,"","&amp;L&amp;""Arial,Kursiv""&amp;6&amp;F / &amp;A / &amp;D",FALSE,FALSE,FALSE,FALSE,1,100,#N/A,#N/A,"=R1C1:R39C8",FALSE,#N/A,#N/A,FALSE,FALSE,FALSE,9,65532,65532,FALSE,FALSE,TRUE,TRUE,TRUE}</definedName>
    <definedName name="fgsdhhj_1_1" hidden="1">{TRUE,TRUE,-1.25,-15.5,772.5,492.75,FALSE,TRUE,TRUE,TRUE,0,1,#N/A,1,#N/A,12.65,22.0869565217391,1,FALSE,FALSE,3,TRUE,1,FALSE,100,"Swvu.FC_10_Details.","ACwvu.FC_10_Details.",#N/A,FALSE,FALSE,0.78740157480315,0.78740157480315,0.590551181102362,0.393700787401575,1,"","&amp;L&amp;""Arial,Kursiv""&amp;6&amp;F / &amp;A / &amp;D",FALSE,FALSE,FALSE,FALSE,1,100,#N/A,#N/A,"=R1C1:R39C8",FALSE,#N/A,#N/A,FALSE,FALSE,FALSE,9,65532,65532,FALSE,FALSE,TRUE,TRUE,TRUE}</definedName>
    <definedName name="fgsdhhj_2" hidden="1">{TRUE,TRUE,-1.25,-15.5,772.5,492.75,FALSE,TRUE,TRUE,TRUE,0,1,#N/A,1,#N/A,12.65,22.0869565217391,1,FALSE,FALSE,3,TRUE,1,FALSE,100,"Swvu.FC_10_Details.","ACwvu.FC_10_Details.",#N/A,FALSE,FALSE,0.78740157480315,0.78740157480315,0.590551181102362,0.393700787401575,1,"","&amp;L&amp;""Arial,Kursiv""&amp;6&amp;F / &amp;A / &amp;D",FALSE,FALSE,FALSE,FALSE,1,100,#N/A,#N/A,"=R1C1:R39C8",FALSE,#N/A,#N/A,FALSE,FALSE,FALSE,9,65532,65532,FALSE,FALSE,TRUE,TRUE,TRUE}</definedName>
    <definedName name="fhjfjgf" hidden="1">{TRUE,TRUE,-1.25,-15.5,772.5,492.75,FALSE,FALSE,TRUE,TRUE,0,1,4,1,57,3,5,4,TRUE,TRUE,3,TRUE,1,TRUE,100,"Swvu.Budget_1997.","ACwvu.Budget_1997.",#N/A,FALSE,FALSE,1.08,0.25,0.590551181102362,0.393700787401575,1,"","&amp;L&amp;6&amp;F / &amp;A / &amp;D",FALSE,FALSE,FALSE,FALSE,1,100,#N/A,#N/A,FALSE,FALSE,"Rwvu.Budget_1997.",#N/A,FALSE,FALSE,FALSE,9,65532,65532,FALSE,FALSE,TRUE,TRUE,TRUE}</definedName>
    <definedName name="fhjfjgf_1" hidden="1">{TRUE,TRUE,-1.25,-15.5,772.5,492.75,FALSE,FALSE,TRUE,TRUE,0,1,4,1,57,3,5,4,TRUE,TRUE,3,TRUE,1,TRUE,100,"Swvu.Budget_1997.","ACwvu.Budget_1997.",#N/A,FALSE,FALSE,1.08,0.25,0.590551181102362,0.393700787401575,1,"","&amp;L&amp;6&amp;F / &amp;A / &amp;D",FALSE,FALSE,FALSE,FALSE,1,100,#N/A,#N/A,FALSE,FALSE,"Rwvu.Budget_1997.",#N/A,FALSE,FALSE,FALSE,9,65532,65532,FALSE,FALSE,TRUE,TRUE,TRUE}</definedName>
    <definedName name="fhjfjgf_1_1" hidden="1">{TRUE,TRUE,-1.25,-15.5,772.5,492.75,FALSE,FALSE,TRUE,TRUE,0,1,4,1,57,3,5,4,TRUE,TRUE,3,TRUE,1,TRUE,100,"Swvu.Budget_1997.","ACwvu.Budget_1997.",#N/A,FALSE,FALSE,1.08,0.25,0.590551181102362,0.393700787401575,1,"","&amp;L&amp;6&amp;F / &amp;A / &amp;D",FALSE,FALSE,FALSE,FALSE,1,100,#N/A,#N/A,FALSE,FALSE,"Rwvu.Budget_1997.",#N/A,FALSE,FALSE,FALSE,9,65532,65532,FALSE,FALSE,TRUE,TRUE,TRUE}</definedName>
    <definedName name="fhjfjgf_2" hidden="1">{TRUE,TRUE,-1.25,-15.5,772.5,492.75,FALSE,FALSE,TRUE,TRUE,0,1,4,1,57,3,5,4,TRUE,TRUE,3,TRUE,1,TRUE,100,"Swvu.Budget_1997.","ACwvu.Budget_1997.",#N/A,FALSE,FALSE,1.08,0.25,0.590551181102362,0.393700787401575,1,"","&amp;L&amp;6&amp;F / &amp;A / &amp;D",FALSE,FALSE,FALSE,FALSE,1,100,#N/A,#N/A,FALSE,FALSE,"Rwvu.Budget_1997.",#N/A,FALSE,FALSE,FALSE,9,65532,65532,FALSE,FALSE,TRUE,TRUE,TRUE}</definedName>
    <definedName name="fjgtjtr" hidden="1">{TRUE,TRUE,-1.25,-15.5,772.5,492.75,FALSE,FALSE,TRUE,TRUE,0,1,4,1,57,3,5,4,TRUE,TRUE,3,TRUE,1,TRUE,100,"Swvu.Budget_1996.","ACwvu.Budget_1996.",#N/A,FALSE,FALSE,1.08,0.25,0.590551181102362,0.393700787401575,1,"","&amp;L&amp;6&amp;F / &amp;A / &amp;D",FALSE,FALSE,FALSE,FALSE,1,100,#N/A,#N/A,FALSE,FALSE,"Rwvu.Budget_1996.",#N/A,FALSE,FALSE,FALSE,9,65532,65532,FALSE,FALSE,TRUE,TRUE,TRUE}</definedName>
    <definedName name="fjgtjtr_1" hidden="1">{TRUE,TRUE,-1.25,-15.5,772.5,492.75,FALSE,FALSE,TRUE,TRUE,0,1,4,1,57,3,5,4,TRUE,TRUE,3,TRUE,1,TRUE,100,"Swvu.Budget_1996.","ACwvu.Budget_1996.",#N/A,FALSE,FALSE,1.08,0.25,0.590551181102362,0.393700787401575,1,"","&amp;L&amp;6&amp;F / &amp;A / &amp;D",FALSE,FALSE,FALSE,FALSE,1,100,#N/A,#N/A,FALSE,FALSE,"Rwvu.Budget_1996.",#N/A,FALSE,FALSE,FALSE,9,65532,65532,FALSE,FALSE,TRUE,TRUE,TRUE}</definedName>
    <definedName name="fjhjd" hidden="1">{TRUE,TRUE,-1.25,-15.5,772.5,492.75,FALSE,TRUE,TRUE,TRUE,0,1,#N/A,1,#N/A,12.7125,22.0869565217391,1,FALSE,FALSE,3,TRUE,1,FALSE,100,"Swvu.Ergebnisüberleitung.","ACwvu.Ergebnisüberleitung.",#N/A,FALSE,FALSE,0.78740157480315,0.78740157480315,0.590551181102362,0.393700787401575,1,"","&amp;L&amp;""Arial,Kursiv""&amp;6&amp;F / &amp;A / &amp;D",FALSE,FALSE,FALSE,FALSE,1,100,#N/A,#N/A,"=R1C1:R39C8",FALSE,"Rwvu.Ergebnisüberleitung.",#N/A,FALSE,FALSE,TRUE,9,65532,65532,FALSE,FALSE,TRUE,TRUE,TRUE}</definedName>
    <definedName name="fjhjd_1" hidden="1">{TRUE,TRUE,-1.25,-15.5,772.5,492.75,FALSE,TRUE,TRUE,TRUE,0,1,#N/A,1,#N/A,12.7125,22.0869565217391,1,FALSE,FALSE,3,TRUE,1,FALSE,100,"Swvu.Ergebnisüberleitung.","ACwvu.Ergebnisüberleitung.",#N/A,FALSE,FALSE,0.78740157480315,0.78740157480315,0.590551181102362,0.393700787401575,1,"","&amp;L&amp;""Arial,Kursiv""&amp;6&amp;F / &amp;A / &amp;D",FALSE,FALSE,FALSE,FALSE,1,100,#N/A,#N/A,"=R1C1:R39C8",FALSE,"Rwvu.Ergebnisüberleitung.",#N/A,FALSE,FALSE,TRUE,9,65532,65532,FALSE,FALSE,TRUE,TRUE,TRUE}</definedName>
    <definedName name="fjhjd_1_1" hidden="1">{TRUE,TRUE,-1.25,-15.5,772.5,492.75,FALSE,TRUE,TRUE,TRUE,0,1,#N/A,1,#N/A,12.7125,22.0869565217391,1,FALSE,FALSE,3,TRUE,1,FALSE,100,"Swvu.Ergebnisüberleitung.","ACwvu.Ergebnisüberleitung.",#N/A,FALSE,FALSE,0.78740157480315,0.78740157480315,0.590551181102362,0.393700787401575,1,"","&amp;L&amp;""Arial,Kursiv""&amp;6&amp;F / &amp;A / &amp;D",FALSE,FALSE,FALSE,FALSE,1,100,#N/A,#N/A,"=R1C1:R39C8",FALSE,"Rwvu.Ergebnisüberleitung.",#N/A,FALSE,FALSE,TRUE,9,65532,65532,FALSE,FALSE,TRUE,TRUE,TRUE}</definedName>
    <definedName name="fjhjd_2" hidden="1">{TRUE,TRUE,-1.25,-15.5,772.5,492.75,FALSE,TRUE,TRUE,TRUE,0,1,#N/A,1,#N/A,12.7125,22.0869565217391,1,FALSE,FALSE,3,TRUE,1,FALSE,100,"Swvu.Ergebnisüberleitung.","ACwvu.Ergebnisüberleitung.",#N/A,FALSE,FALSE,0.78740157480315,0.78740157480315,0.590551181102362,0.393700787401575,1,"","&amp;L&amp;""Arial,Kursiv""&amp;6&amp;F / &amp;A / &amp;D",FALSE,FALSE,FALSE,FALSE,1,100,#N/A,#N/A,"=R1C1:R39C8",FALSE,"Rwvu.Ergebnisüberleitung.",#N/A,FALSE,FALSE,TRUE,9,65532,65532,FALSE,FALSE,TRUE,TRUE,TRUE}</definedName>
    <definedName name="flu" hidden="1">{TRUE,TRUE,-1.25,-15.5,772.5,492.75,FALSE,FALSE,TRUE,TRUE,0,1,4,1,57,3,5,4,TRUE,TRUE,3,TRUE,1,TRUE,100,"Swvu.Budget_1996.","ACwvu.Budget_1996.",#N/A,FALSE,FALSE,1.08,0.25,0.590551181102362,0.393700787401575,1,"","&amp;L&amp;6&amp;F / &amp;A / &amp;D",FALSE,FALSE,FALSE,FALSE,1,100,#N/A,#N/A,FALSE,FALSE,"Rwvu.Budget_1996.",#N/A,FALSE,FALSE,FALSE,9,65532,65532,FALSE,FALSE,TRUE,TRUE,TRUE}</definedName>
    <definedName name="flu_1" hidden="1">{TRUE,TRUE,-1.25,-15.5,772.5,492.75,FALSE,FALSE,TRUE,TRUE,0,1,4,1,57,3,5,4,TRUE,TRUE,3,TRUE,1,TRUE,100,"Swvu.Budget_1996.","ACwvu.Budget_1996.",#N/A,FALSE,FALSE,1.08,0.25,0.590551181102362,0.393700787401575,1,"","&amp;L&amp;6&amp;F / &amp;A / &amp;D",FALSE,FALSE,FALSE,FALSE,1,100,#N/A,#N/A,FALSE,FALSE,"Rwvu.Budget_1996.",#N/A,FALSE,FALSE,FALSE,9,65532,65532,FALSE,FALSE,TRUE,TRUE,TRUE}</definedName>
    <definedName name="Fra">"Graphique 2"</definedName>
    <definedName name="fsd" hidden="1">{TRUE,TRUE,-1.25,-15.5,772.5,492.75,FALSE,FALSE,TRUE,TRUE,0,1,4,1,57,3,5,4,TRUE,TRUE,3,TRUE,1,TRUE,100,"Swvu.Budget_1997.","ACwvu.Budget_1997.",#N/A,FALSE,FALSE,1.08,0.25,0.590551181102362,0.393700787401575,1,"","&amp;L&amp;6&amp;F / &amp;A / &amp;D",FALSE,FALSE,FALSE,FALSE,1,100,#N/A,#N/A,FALSE,FALSE,"Rwvu.Budget_1997.",#N/A,FALSE,FALSE,FALSE,9,65532,65532,FALSE,FALSE,TRUE,TRUE,TRUE}</definedName>
    <definedName name="fsd_1" hidden="1">{TRUE,TRUE,-1.25,-15.5,772.5,492.75,FALSE,FALSE,TRUE,TRUE,0,1,4,1,57,3,5,4,TRUE,TRUE,3,TRUE,1,TRUE,100,"Swvu.Budget_1997.","ACwvu.Budget_1997.",#N/A,FALSE,FALSE,1.08,0.25,0.590551181102362,0.393700787401575,1,"","&amp;L&amp;6&amp;F / &amp;A / &amp;D",FALSE,FALSE,FALSE,FALSE,1,100,#N/A,#N/A,FALSE,FALSE,"Rwvu.Budget_1997.",#N/A,FALSE,FALSE,FALSE,9,65532,65532,FALSE,FALSE,TRUE,TRUE,TRUE}</definedName>
    <definedName name="fsd_1_1" hidden="1">{TRUE,TRUE,-1.25,-15.5,772.5,492.75,FALSE,FALSE,TRUE,TRUE,0,1,4,1,57,3,5,4,TRUE,TRUE,3,TRUE,1,TRUE,100,"Swvu.Budget_1997.","ACwvu.Budget_1997.",#N/A,FALSE,FALSE,1.08,0.25,0.590551181102362,0.393700787401575,1,"","&amp;L&amp;6&amp;F / &amp;A / &amp;D",FALSE,FALSE,FALSE,FALSE,1,100,#N/A,#N/A,FALSE,FALSE,"Rwvu.Budget_1997.",#N/A,FALSE,FALSE,FALSE,9,65532,65532,FALSE,FALSE,TRUE,TRUE,TRUE}</definedName>
    <definedName name="fsd_2" hidden="1">{TRUE,TRUE,-1.25,-15.5,772.5,492.75,FALSE,FALSE,TRUE,TRUE,0,1,4,1,57,3,5,4,TRUE,TRUE,3,TRUE,1,TRUE,100,"Swvu.Budget_1997.","ACwvu.Budget_1997.",#N/A,FALSE,FALSE,1.08,0.25,0.590551181102362,0.393700787401575,1,"","&amp;L&amp;6&amp;F / &amp;A / &amp;D",FALSE,FALSE,FALSE,FALSE,1,100,#N/A,#N/A,FALSE,FALSE,"Rwvu.Budget_1997.",#N/A,FALSE,FALSE,FALSE,9,65532,65532,FALSE,FALSE,TRUE,TRUE,TRUE}</definedName>
    <definedName name="fsg" hidden="1">{TRUE,TRUE,-1.25,-15.5,772.5,492.75,FALSE,TRUE,TRUE,TRUE,0,1,#N/A,1,#N/A,12.7125,22.0869565217391,1,FALSE,FALSE,3,TRUE,1,FALSE,100,"Swvu.Ergebnisüberleitung.","ACwvu.Ergebnisüberleitung.",#N/A,FALSE,FALSE,0.78740157480315,0.78740157480315,0.590551181102362,0.393700787401575,1,"","&amp;L&amp;""Arial,Kursiv""&amp;6&amp;F / &amp;A / &amp;D",FALSE,FALSE,FALSE,FALSE,1,100,#N/A,#N/A,"=R1C1:R39C8",FALSE,"Rwvu.Ergebnisüberleitung.",#N/A,FALSE,FALSE,TRUE,9,65532,65532,FALSE,FALSE,TRUE,TRUE,TRUE}</definedName>
    <definedName name="fsg_1" hidden="1">{TRUE,TRUE,-1.25,-15.5,772.5,492.75,FALSE,TRUE,TRUE,TRUE,0,1,#N/A,1,#N/A,12.7125,22.0869565217391,1,FALSE,FALSE,3,TRUE,1,FALSE,100,"Swvu.Ergebnisüberleitung.","ACwvu.Ergebnisüberleitung.",#N/A,FALSE,FALSE,0.78740157480315,0.78740157480315,0.590551181102362,0.393700787401575,1,"","&amp;L&amp;""Arial,Kursiv""&amp;6&amp;F / &amp;A / &amp;D",FALSE,FALSE,FALSE,FALSE,1,100,#N/A,#N/A,"=R1C1:R39C8",FALSE,"Rwvu.Ergebnisüberleitung.",#N/A,FALSE,FALSE,TRUE,9,65532,65532,FALSE,FALSE,TRUE,TRUE,TRUE}</definedName>
    <definedName name="fsg_1_1" hidden="1">{TRUE,TRUE,-1.25,-15.5,772.5,492.75,FALSE,TRUE,TRUE,TRUE,0,1,#N/A,1,#N/A,12.7125,22.0869565217391,1,FALSE,FALSE,3,TRUE,1,FALSE,100,"Swvu.Ergebnisüberleitung.","ACwvu.Ergebnisüberleitung.",#N/A,FALSE,FALSE,0.78740157480315,0.78740157480315,0.590551181102362,0.393700787401575,1,"","&amp;L&amp;""Arial,Kursiv""&amp;6&amp;F / &amp;A / &amp;D",FALSE,FALSE,FALSE,FALSE,1,100,#N/A,#N/A,"=R1C1:R39C8",FALSE,"Rwvu.Ergebnisüberleitung.",#N/A,FALSE,FALSE,TRUE,9,65532,65532,FALSE,FALSE,TRUE,TRUE,TRUE}</definedName>
    <definedName name="fsg_2" hidden="1">{TRUE,TRUE,-1.25,-15.5,772.5,492.75,FALSE,TRUE,TRUE,TRUE,0,1,#N/A,1,#N/A,12.7125,22.0869565217391,1,FALSE,FALSE,3,TRUE,1,FALSE,100,"Swvu.Ergebnisüberleitung.","ACwvu.Ergebnisüberleitung.",#N/A,FALSE,FALSE,0.78740157480315,0.78740157480315,0.590551181102362,0.393700787401575,1,"","&amp;L&amp;""Arial,Kursiv""&amp;6&amp;F / &amp;A / &amp;D",FALSE,FALSE,FALSE,FALSE,1,100,#N/A,#N/A,"=R1C1:R39C8",FALSE,"Rwvu.Ergebnisüberleitung.",#N/A,FALSE,FALSE,TRUE,9,65532,65532,FALSE,FALSE,TRUE,TRUE,TRUE}</definedName>
    <definedName name="fuafg" hidden="1">{TRUE,TRUE,-1.25,-15.5,772.5,492.75,FALSE,FALSE,TRUE,TRUE,0,1,4,1,57,3,5,4,TRUE,TRUE,3,TRUE,1,TRUE,100,"Swvu.Alles.","ACwvu.Alles.",#N/A,FALSE,FALSE,1.08,0.25,0.590551181102362,0.393700787401575,1,"","&amp;L&amp;6&amp;F / &amp;A / &amp;D",FALSE,FALSE,FALSE,FALSE,1,100,#N/A,#N/A,FALSE,FALSE,#N/A,#N/A,FALSE,FALSE,FALSE,9,65532,65532,FALSE,FALSE,TRUE,TRUE,TRUE}</definedName>
    <definedName name="fuafg_1" hidden="1">{TRUE,TRUE,-1.25,-15.5,772.5,492.75,FALSE,FALSE,TRUE,TRUE,0,1,4,1,57,3,5,4,TRUE,TRUE,3,TRUE,1,TRUE,100,"Swvu.Alles.","ACwvu.Alles.",#N/A,FALSE,FALSE,1.08,0.25,0.590551181102362,0.393700787401575,1,"","&amp;L&amp;6&amp;F / &amp;A / &amp;D",FALSE,FALSE,FALSE,FALSE,1,100,#N/A,#N/A,FALSE,FALSE,#N/A,#N/A,FALSE,FALSE,FALSE,9,65532,65532,FALSE,FALSE,TRUE,TRUE,TRUE}</definedName>
    <definedName name="fuiil" hidden="1">{#N/A,#N/A,FALSE,"V3 Stab-Geb Index";#N/A,#N/A,FALSE,"Vertrieb";#N/A,#N/A,FALSE,"V Daten";#N/A,#N/A,FALSE,"V-Z-Index";#N/A,#N/A,FALSE,"V-1 Daten";#N/A,#N/A,FALSE,"V-1 Index";#N/A,#N/A,FALSE,"V-2 Index";#N/A,#N/A,FALSE,"V-3 Daten";#N/A,#N/A,FALSE,"V3 Stab-Geb Index";#N/A,#N/A,FALSE,"V-3 VG's Index";#N/A,#N/A,FALSE,"V-4 Index";#N/A,#N/A,FALSE,"V-5 Index"}</definedName>
    <definedName name="fuiil_1" hidden="1">{#N/A,#N/A,FALSE,"V3 Stab-Geb Index";#N/A,#N/A,FALSE,"Vertrieb";#N/A,#N/A,FALSE,"V Daten";#N/A,#N/A,FALSE,"V-Z-Index";#N/A,#N/A,FALSE,"V-1 Daten";#N/A,#N/A,FALSE,"V-1 Index";#N/A,#N/A,FALSE,"V-2 Index";#N/A,#N/A,FALSE,"V-3 Daten";#N/A,#N/A,FALSE,"V3 Stab-Geb Index";#N/A,#N/A,FALSE,"V-3 VG's Index";#N/A,#N/A,FALSE,"V-4 Index";#N/A,#N/A,FALSE,"V-5 Index"}</definedName>
    <definedName name="fzlfz" hidden="1">{TRUE,TRUE,-1.25,-15.5,772.5,492.75,FALSE,FALSE,TRUE,TRUE,0,1,4,1,57,3,5,4,TRUE,TRUE,3,TRUE,1,TRUE,100,"Swvu.Budget_1997.","ACwvu.Budget_1997.",#N/A,FALSE,FALSE,1.08,0.25,0.590551181102362,0.393700787401575,1,"","&amp;L&amp;6&amp;F / &amp;A / &amp;D",FALSE,FALSE,FALSE,FALSE,1,100,#N/A,#N/A,FALSE,FALSE,"Rwvu.Budget_1997.",#N/A,FALSE,FALSE,FALSE,9,65532,65532,FALSE,FALSE,TRUE,TRUE,TRUE}</definedName>
    <definedName name="fzlfz_1" hidden="1">{TRUE,TRUE,-1.25,-15.5,772.5,492.75,FALSE,FALSE,TRUE,TRUE,0,1,4,1,57,3,5,4,TRUE,TRUE,3,TRUE,1,TRUE,100,"Swvu.Budget_1997.","ACwvu.Budget_1997.",#N/A,FALSE,FALSE,1.08,0.25,0.590551181102362,0.393700787401575,1,"","&amp;L&amp;6&amp;F / &amp;A / &amp;D",FALSE,FALSE,FALSE,FALSE,1,100,#N/A,#N/A,FALSE,FALSE,"Rwvu.Budget_1997.",#N/A,FALSE,FALSE,FALSE,9,65532,65532,FALSE,FALSE,TRUE,TRUE,TRUE}</definedName>
    <definedName name="g" hidden="1">{TRUE,TRUE,-1.25,-15.5,772.5,492.75,FALSE,FALSE,TRUE,TRUE,0,1,4,1,57,3,5,4,TRUE,TRUE,3,TRUE,1,TRUE,100,"Swvu.Budget_1996.","ACwvu.Budget_1996.",#N/A,FALSE,FALSE,1.08,0.25,0.590551181102362,0.393700787401575,1,"","&amp;L&amp;6&amp;F / &amp;A / &amp;D",FALSE,FALSE,FALSE,FALSE,1,100,#N/A,#N/A,FALSE,FALSE,"Rwvu.Budget_1996.",#N/A,FALSE,FALSE,FALSE,9,65532,65532,FALSE,FALSE,TRUE,TRUE,TRUE}</definedName>
    <definedName name="g_1" hidden="1">{TRUE,TRUE,-1.25,-15.5,772.5,492.75,FALSE,FALSE,TRUE,TRUE,0,1,4,1,57,3,5,4,TRUE,TRUE,3,TRUE,1,TRUE,100,"Swvu.Budget_1996.","ACwvu.Budget_1996.",#N/A,FALSE,FALSE,1.08,0.25,0.590551181102362,0.393700787401575,1,"","&amp;L&amp;6&amp;F / &amp;A / &amp;D",FALSE,FALSE,FALSE,FALSE,1,100,#N/A,#N/A,FALSE,FALSE,"Rwvu.Budget_1996.",#N/A,FALSE,FALSE,FALSE,9,65532,65532,FALSE,FALSE,TRUE,TRUE,TRUE}</definedName>
    <definedName name="gfhtf" hidden="1">{TRUE,TRUE,-1.25,-15.5,772.5,492.75,FALSE,FALSE,TRUE,TRUE,0,1,4,1,57,3,5,4,TRUE,TRUE,3,TRUE,1,TRUE,100,"Swvu.Budget_1996.","ACwvu.Budget_1996.",#N/A,FALSE,FALSE,1.08,0.25,0.590551181102362,0.393700787401575,1,"","&amp;L&amp;6&amp;F / &amp;A / &amp;D",FALSE,FALSE,FALSE,FALSE,1,100,#N/A,#N/A,FALSE,FALSE,"Rwvu.Budget_1996.",#N/A,FALSE,FALSE,FALSE,9,65532,65532,FALSE,FALSE,TRUE,TRUE,TRUE}</definedName>
    <definedName name="gfhtf_1" hidden="1">{TRUE,TRUE,-1.25,-15.5,772.5,492.75,FALSE,FALSE,TRUE,TRUE,0,1,4,1,57,3,5,4,TRUE,TRUE,3,TRUE,1,TRUE,100,"Swvu.Budget_1996.","ACwvu.Budget_1996.",#N/A,FALSE,FALSE,1.08,0.25,0.590551181102362,0.393700787401575,1,"","&amp;L&amp;6&amp;F / &amp;A / &amp;D",FALSE,FALSE,FALSE,FALSE,1,100,#N/A,#N/A,FALSE,FALSE,"Rwvu.Budget_1996.",#N/A,FALSE,FALSE,FALSE,9,65532,65532,FALSE,FALSE,TRUE,TRUE,TRUE}</definedName>
    <definedName name="gg" hidden="1">{#N/A,#N/A,FALSE,"Bl. 1";#N/A,#N/A,FALSE,"Bl. 2";#N/A,#N/A,FALSE,"Bl. 3";#N/A,#N/A,FALSE,"Bl. 4";#N/A,#N/A,FALSE,"Bl. 6";#N/A,#N/A,FALSE,"Bl. 7";#N/A,#N/A,FALSE,"BL. 8";#N/A,#N/A,FALSE,"Bl. 9";#N/A,#N/A,FALSE,"Bl. 10";#N/A,#N/A,FALSE,"Bl. 12"}</definedName>
    <definedName name="gg_1" hidden="1">{#N/A,#N/A,FALSE,"Bl. 1";#N/A,#N/A,FALSE,"Bl. 2";#N/A,#N/A,FALSE,"Bl. 3";#N/A,#N/A,FALSE,"Bl. 4";#N/A,#N/A,FALSE,"Bl. 6";#N/A,#N/A,FALSE,"Bl. 7";#N/A,#N/A,FALSE,"BL. 8";#N/A,#N/A,FALSE,"Bl. 9";#N/A,#N/A,FALSE,"Bl. 10";#N/A,#N/A,FALSE,"Bl. 12"}</definedName>
    <definedName name="ghkg" hidden="1">{TRUE,TRUE,-1.25,-15.5,772.5,492.75,FALSE,FALSE,TRUE,TRUE,0,1,4,1,57,3,5,4,TRUE,TRUE,3,TRUE,1,TRUE,100,"Swvu.Budget_1997.","ACwvu.Budget_1997.",#N/A,FALSE,FALSE,1.08,0.25,0.590551181102362,0.393700787401575,1,"","&amp;L&amp;6&amp;F / &amp;A / &amp;D",FALSE,FALSE,FALSE,FALSE,1,100,#N/A,#N/A,FALSE,FALSE,"Rwvu.Budget_1997.",#N/A,FALSE,FALSE,FALSE,9,65532,65532,FALSE,FALSE,TRUE,TRUE,TRUE}</definedName>
    <definedName name="ghkg_1" hidden="1">{TRUE,TRUE,-1.25,-15.5,772.5,492.75,FALSE,FALSE,TRUE,TRUE,0,1,4,1,57,3,5,4,TRUE,TRUE,3,TRUE,1,TRUE,100,"Swvu.Budget_1997.","ACwvu.Budget_1997.",#N/A,FALSE,FALSE,1.08,0.25,0.590551181102362,0.393700787401575,1,"","&amp;L&amp;6&amp;F / &amp;A / &amp;D",FALSE,FALSE,FALSE,FALSE,1,100,#N/A,#N/A,FALSE,FALSE,"Rwvu.Budget_1997.",#N/A,FALSE,FALSE,FALSE,9,65532,65532,FALSE,FALSE,TRUE,TRUE,TRUE}</definedName>
    <definedName name="ghkgh" hidden="1">{TRUE,TRUE,-1.25,-15.5,772.5,492.75,FALSE,TRUE,TRUE,TRUE,0,1,#N/A,1,#N/A,12.65,22.0869565217391,1,FALSE,FALSE,3,TRUE,1,FALSE,100,"Swvu.FC_10_Details.","ACwvu.FC_10_Details.",#N/A,FALSE,FALSE,0.78740157480315,0.78740157480315,0.590551181102362,0.393700787401575,1,"","&amp;L&amp;""Arial,Kursiv""&amp;6&amp;F / &amp;A / &amp;D",FALSE,FALSE,FALSE,FALSE,1,100,#N/A,#N/A,"=R1C1:R39C8",FALSE,#N/A,#N/A,FALSE,FALSE,FALSE,9,65532,65532,FALSE,FALSE,TRUE,TRUE,TRUE}</definedName>
    <definedName name="ghkgh_1" hidden="1">{TRUE,TRUE,-1.25,-15.5,772.5,492.75,FALSE,TRUE,TRUE,TRUE,0,1,#N/A,1,#N/A,12.65,22.0869565217391,1,FALSE,FALSE,3,TRUE,1,FALSE,100,"Swvu.FC_10_Details.","ACwvu.FC_10_Details.",#N/A,FALSE,FALSE,0.78740157480315,0.78740157480315,0.590551181102362,0.393700787401575,1,"","&amp;L&amp;""Arial,Kursiv""&amp;6&amp;F / &amp;A / &amp;D",FALSE,FALSE,FALSE,FALSE,1,100,#N/A,#N/A,"=R1C1:R39C8",FALSE,#N/A,#N/A,FALSE,FALSE,FALSE,9,65532,65532,FALSE,FALSE,TRUE,TRUE,TRUE}</definedName>
    <definedName name="gjhk" hidden="1">{TRUE,TRUE,-1.25,-15.5,772.5,492.75,FALSE,FALSE,TRUE,TRUE,0,1,4,1,57,3,5,4,TRUE,TRUE,3,TRUE,1,TRUE,100,"Swvu.Budget_1997.","ACwvu.Budget_1997.",#N/A,FALSE,FALSE,1.08,0.25,0.590551181102362,0.393700787401575,1,"","&amp;L&amp;6&amp;F / &amp;A / &amp;D",FALSE,FALSE,FALSE,FALSE,1,100,#N/A,#N/A,FALSE,FALSE,"Rwvu.Budget_1997.",#N/A,FALSE,FALSE,FALSE,9,65532,65532,FALSE,FALSE,TRUE,TRUE,TRUE}</definedName>
    <definedName name="gjhk_1" hidden="1">{TRUE,TRUE,-1.25,-15.5,772.5,492.75,FALSE,FALSE,TRUE,TRUE,0,1,4,1,57,3,5,4,TRUE,TRUE,3,TRUE,1,TRUE,100,"Swvu.Budget_1997.","ACwvu.Budget_1997.",#N/A,FALSE,FALSE,1.08,0.25,0.590551181102362,0.393700787401575,1,"","&amp;L&amp;6&amp;F / &amp;A / &amp;D",FALSE,FALSE,FALSE,FALSE,1,100,#N/A,#N/A,FALSE,FALSE,"Rwvu.Budget_1997.",#N/A,FALSE,FALSE,FALSE,9,65532,65532,FALSE,FALSE,TRUE,TRUE,TRUE}</definedName>
    <definedName name="gkg" hidden="1">{TRUE,TRUE,-1.25,-15.5,772.5,492.75,FALSE,TRUE,TRUE,TRUE,0,1,#N/A,1,#N/A,12.65,22.0869565217391,1,FALSE,FALSE,3,TRUE,1,FALSE,100,"Swvu.FC_10_Details.","ACwvu.FC_10_Details.",#N/A,FALSE,FALSE,0.78740157480315,0.78740157480315,0.590551181102362,0.393700787401575,1,"","&amp;L&amp;""Arial,Kursiv""&amp;6&amp;F / &amp;A / &amp;D",FALSE,FALSE,FALSE,FALSE,1,100,#N/A,#N/A,"=R1C1:R39C8",FALSE,#N/A,#N/A,FALSE,FALSE,FALSE,9,65532,65532,FALSE,FALSE,TRUE,TRUE,TRUE}</definedName>
    <definedName name="gkg_1" hidden="1">{TRUE,TRUE,-1.25,-15.5,772.5,492.75,FALSE,TRUE,TRUE,TRUE,0,1,#N/A,1,#N/A,12.65,22.0869565217391,1,FALSE,FALSE,3,TRUE,1,FALSE,100,"Swvu.FC_10_Details.","ACwvu.FC_10_Details.",#N/A,FALSE,FALSE,0.78740157480315,0.78740157480315,0.590551181102362,0.393700787401575,1,"","&amp;L&amp;""Arial,Kursiv""&amp;6&amp;F / &amp;A / &amp;D",FALSE,FALSE,FALSE,FALSE,1,100,#N/A,#N/A,"=R1C1:R39C8",FALSE,#N/A,#N/A,FALSE,FALSE,FALSE,9,65532,65532,FALSE,FALSE,TRUE,TRUE,TRUE}</definedName>
    <definedName name="Graphiques">#REF!</definedName>
    <definedName name="gvhj" hidden="1">{TRUE,TRUE,-1.25,-15.5,772.5,492.75,FALSE,FALSE,TRUE,TRUE,0,1,4,1,57,3,5,4,TRUE,TRUE,3,TRUE,1,TRUE,100,"Swvu.Alles.","ACwvu.Alles.",#N/A,FALSE,FALSE,1.08,0.25,0.590551181102362,0.393700787401575,1,"","&amp;L&amp;6&amp;F / &amp;A / &amp;D",FALSE,FALSE,FALSE,FALSE,1,100,#N/A,#N/A,FALSE,FALSE,#N/A,#N/A,FALSE,FALSE,FALSE,9,65532,65532,FALSE,FALSE,TRUE,TRUE,TRUE}</definedName>
    <definedName name="gvhj_1" hidden="1">{TRUE,TRUE,-1.25,-15.5,772.5,492.75,FALSE,FALSE,TRUE,TRUE,0,1,4,1,57,3,5,4,TRUE,TRUE,3,TRUE,1,TRUE,100,"Swvu.Alles.","ACwvu.Alles.",#N/A,FALSE,FALSE,1.08,0.25,0.590551181102362,0.393700787401575,1,"","&amp;L&amp;6&amp;F / &amp;A / &amp;D",FALSE,FALSE,FALSE,FALSE,1,100,#N/A,#N/A,FALSE,FALSE,#N/A,#N/A,FALSE,FALSE,FALSE,9,65532,65532,FALSE,FALSE,TRUE,TRUE,TRUE}</definedName>
    <definedName name="h" hidden="1">{TRUE,TRUE,-1.25,-15.5,772.5,492.75,FALSE,FALSE,TRUE,TRUE,0,1,4,1,57,3,5,4,TRUE,TRUE,3,TRUE,1,TRUE,100,"Swvu.Budget_1996.","ACwvu.Budget_1996.",#N/A,FALSE,FALSE,1.08,0.25,0.590551181102362,0.393700787401575,1,"","&amp;L&amp;6&amp;F / &amp;A / &amp;D",FALSE,FALSE,FALSE,FALSE,1,100,#N/A,#N/A,FALSE,FALSE,"Rwvu.Budget_1996.",#N/A,FALSE,FALSE,FALSE,9,65532,65532,FALSE,FALSE,TRUE,TRUE,TRUE}</definedName>
    <definedName name="h_1" hidden="1">{TRUE,TRUE,-1.25,-15.5,772.5,492.75,FALSE,FALSE,TRUE,TRUE,0,1,4,1,57,3,5,4,TRUE,TRUE,3,TRUE,1,TRUE,100,"Swvu.Budget_1996.","ACwvu.Budget_1996.",#N/A,FALSE,FALSE,1.08,0.25,0.590551181102362,0.393700787401575,1,"","&amp;L&amp;6&amp;F / &amp;A / &amp;D",FALSE,FALSE,FALSE,FALSE,1,100,#N/A,#N/A,FALSE,FALSE,"Rwvu.Budget_1996.",#N/A,FALSE,FALSE,FALSE,9,65532,65532,FALSE,FALSE,TRUE,TRUE,TRUE}</definedName>
    <definedName name="HGB" hidden="1">{TRUE,TRUE,-1.25,-15.5,772.5,492.75,FALSE,TRUE,TRUE,TRUE,0,1,#N/A,1,#N/A,12.7125,22.0869565217391,1,FALSE,FALSE,3,TRUE,1,FALSE,100,"Swvu.Ergebnisüberleitung.","ACwvu.Ergebnisüberleitung.",#N/A,FALSE,FALSE,0.78740157480315,0.78740157480315,0.590551181102362,0.393700787401575,1,"","&amp;L&amp;""Arial,Kursiv""&amp;6&amp;F / &amp;A / &amp;D",FALSE,FALSE,FALSE,FALSE,1,100,#N/A,#N/A,"=R1C1:R39C8",FALSE,"Rwvu.Ergebnisüberleitung.",#N/A,FALSE,FALSE,TRUE,9,65532,65532,FALSE,FALSE,TRUE,TRUE,TRUE}</definedName>
    <definedName name="HGB_1" hidden="1">{TRUE,TRUE,-1.25,-15.5,772.5,492.75,FALSE,TRUE,TRUE,TRUE,0,1,#N/A,1,#N/A,12.7125,22.0869565217391,1,FALSE,FALSE,3,TRUE,1,FALSE,100,"Swvu.Ergebnisüberleitung.","ACwvu.Ergebnisüberleitung.",#N/A,FALSE,FALSE,0.78740157480315,0.78740157480315,0.590551181102362,0.393700787401575,1,"","&amp;L&amp;""Arial,Kursiv""&amp;6&amp;F / &amp;A / &amp;D",FALSE,FALSE,FALSE,FALSE,1,100,#N/A,#N/A,"=R1C1:R39C8",FALSE,"Rwvu.Ergebnisüberleitung.",#N/A,FALSE,FALSE,TRUE,9,65532,65532,FALSE,FALSE,TRUE,TRUE,TRUE}</definedName>
    <definedName name="himmel" hidden="1">{TRUE,TRUE,-1.25,-15.5,772.5,492.75,FALSE,FALSE,TRUE,TRUE,0,1,4,1,57,3,5,4,TRUE,TRUE,3,TRUE,1,TRUE,100,"Swvu.Budget_1996.","ACwvu.Budget_1996.",#N/A,FALSE,FALSE,1.08,0.25,0.590551181102362,0.393700787401575,1,"","&amp;L&amp;6&amp;F / &amp;A / &amp;D",FALSE,FALSE,FALSE,FALSE,1,100,#N/A,#N/A,FALSE,FALSE,"Rwvu.Budget_1996.",#N/A,FALSE,FALSE,FALSE,9,65532,65532,FALSE,FALSE,TRUE,TRUE,TRUE}</definedName>
    <definedName name="himmel_1" hidden="1">{TRUE,TRUE,-1.25,-15.5,772.5,492.75,FALSE,FALSE,TRUE,TRUE,0,1,4,1,57,3,5,4,TRUE,TRUE,3,TRUE,1,TRUE,100,"Swvu.Budget_1996.","ACwvu.Budget_1996.",#N/A,FALSE,FALSE,1.08,0.25,0.590551181102362,0.393700787401575,1,"","&amp;L&amp;6&amp;F / &amp;A / &amp;D",FALSE,FALSE,FALSE,FALSE,1,100,#N/A,#N/A,FALSE,FALSE,"Rwvu.Budget_1996.",#N/A,FALSE,FALSE,FALSE,9,65532,65532,FALSE,FALSE,TRUE,TRUE,TRUE}</definedName>
    <definedName name="himmel_1_1" hidden="1">{TRUE,TRUE,-1.25,-15.5,772.5,492.75,FALSE,FALSE,TRUE,TRUE,0,1,4,1,57,3,5,4,TRUE,TRUE,3,TRUE,1,TRUE,100,"Swvu.Budget_1996.","ACwvu.Budget_1996.",#N/A,FALSE,FALSE,1.08,0.25,0.590551181102362,0.393700787401575,1,"","&amp;L&amp;6&amp;F / &amp;A / &amp;D",FALSE,FALSE,FALSE,FALSE,1,100,#N/A,#N/A,FALSE,FALSE,"Rwvu.Budget_1996.",#N/A,FALSE,FALSE,FALSE,9,65532,65532,FALSE,FALSE,TRUE,TRUE,TRUE}</definedName>
    <definedName name="himmel_2" hidden="1">{TRUE,TRUE,-1.25,-15.5,772.5,492.75,FALSE,FALSE,TRUE,TRUE,0,1,4,1,57,3,5,4,TRUE,TRUE,3,TRUE,1,TRUE,100,"Swvu.Budget_1996.","ACwvu.Budget_1996.",#N/A,FALSE,FALSE,1.08,0.25,0.590551181102362,0.393700787401575,1,"","&amp;L&amp;6&amp;F / &amp;A / &amp;D",FALSE,FALSE,FALSE,FALSE,1,100,#N/A,#N/A,FALSE,FALSE,"Rwvu.Budget_1996.",#N/A,FALSE,FALSE,FALSE,9,65532,65532,FALSE,FALSE,TRUE,TRUE,TRUE}</definedName>
    <definedName name="hjg" hidden="1">{TRUE,TRUE,-1.25,-15.5,772.5,492.75,FALSE,FALSE,TRUE,TRUE,0,1,4,1,57,3,5,4,TRUE,TRUE,3,TRUE,1,TRUE,100,"Swvu.Budget_1996.","ACwvu.Budget_1996.",#N/A,FALSE,FALSE,1.08,0.25,0.590551181102362,0.393700787401575,1,"","&amp;L&amp;6&amp;F / &amp;A / &amp;D",FALSE,FALSE,FALSE,FALSE,1,100,#N/A,#N/A,FALSE,FALSE,"Rwvu.Budget_1996.",#N/A,FALSE,FALSE,FALSE,9,65532,65532,FALSE,FALSE,TRUE,TRUE,TRUE}</definedName>
    <definedName name="hjg_1" hidden="1">{TRUE,TRUE,-1.25,-15.5,772.5,492.75,FALSE,FALSE,TRUE,TRUE,0,1,4,1,57,3,5,4,TRUE,TRUE,3,TRUE,1,TRUE,100,"Swvu.Budget_1996.","ACwvu.Budget_1996.",#N/A,FALSE,FALSE,1.08,0.25,0.590551181102362,0.393700787401575,1,"","&amp;L&amp;6&amp;F / &amp;A / &amp;D",FALSE,FALSE,FALSE,FALSE,1,100,#N/A,#N/A,FALSE,FALSE,"Rwvu.Budget_1996.",#N/A,FALSE,FALSE,FALSE,9,65532,65532,FALSE,FALSE,TRUE,TRUE,TRUE}</definedName>
    <definedName name="htfx" hidden="1">{#N/A,#N/A,FALSE,"V3 Stab-Geb Index";#N/A,#N/A,FALSE,"Vertrieb";#N/A,#N/A,FALSE,"V Daten";#N/A,#N/A,FALSE,"V-Z-Index";#N/A,#N/A,FALSE,"V-1 Daten";#N/A,#N/A,FALSE,"V-1 Index";#N/A,#N/A,FALSE,"V-2 Index";#N/A,#N/A,FALSE,"V-3 Daten";#N/A,#N/A,FALSE,"V3 Stab-Geb Index";#N/A,#N/A,FALSE,"V-3 VG's Index";#N/A,#N/A,FALSE,"V-4 Index";#N/A,#N/A,FALSE,"V-5 Index"}</definedName>
    <definedName name="htfx_1" hidden="1">{#N/A,#N/A,FALSE,"V3 Stab-Geb Index";#N/A,#N/A,FALSE,"Vertrieb";#N/A,#N/A,FALSE,"V Daten";#N/A,#N/A,FALSE,"V-Z-Index";#N/A,#N/A,FALSE,"V-1 Daten";#N/A,#N/A,FALSE,"V-1 Index";#N/A,#N/A,FALSE,"V-2 Index";#N/A,#N/A,FALSE,"V-3 Daten";#N/A,#N/A,FALSE,"V3 Stab-Geb Index";#N/A,#N/A,FALSE,"V-3 VG's Index";#N/A,#N/A,FALSE,"V-4 Index";#N/A,#N/A,FALSE,"V-5 Index"}</definedName>
    <definedName name="input" hidden="1">{#N/A,#N/A,FALSE,"Report-Generator";#N/A,#N/A,FALSE,"S.1 Zusammenfassung";#N/A,#N/A,FALSE,"S.2 Modellrendite";#N/A,#N/A,FALSE,"S.3a Absatzvolumen";#N/A,#N/A,FALSE,"S.3b Absatzvolumen";#N/A,#N/A,FALSE,"S.3c Absatzvolumen";#N/A,#N/A,FALSE,"S.4 Volumen, Mix";#N/A,#N/A,FALSE,"S.5 Produktaufwand";#N/A,#N/A,FALSE,"S.6 Prop. Herstellkosten";#N/A,#N/A,FALSE,"S.7 DB-Vergleich";#N/A,#N/A,FALSE,"S.8 DB-Vergleich";#N/A,#N/A,FALSE,"S.9 DB-Vergleich";#N/A,#N/A,FALSE,"S.10 MR-Berechnung"}</definedName>
    <definedName name="input_1" hidden="1">{#N/A,#N/A,FALSE,"Report-Generator";#N/A,#N/A,FALSE,"S.1 Zusammenfassung";#N/A,#N/A,FALSE,"S.2 Modellrendite";#N/A,#N/A,FALSE,"S.3a Absatzvolumen";#N/A,#N/A,FALSE,"S.3b Absatzvolumen";#N/A,#N/A,FALSE,"S.3c Absatzvolumen";#N/A,#N/A,FALSE,"S.4 Volumen, Mix";#N/A,#N/A,FALSE,"S.5 Produktaufwand";#N/A,#N/A,FALSE,"S.6 Prop. Herstellkosten";#N/A,#N/A,FALSE,"S.7 DB-Vergleich";#N/A,#N/A,FALSE,"S.8 DB-Vergleich";#N/A,#N/A,FALSE,"S.9 DB-Vergleich";#N/A,#N/A,FALSE,"S.10 MR-Berechnung"}</definedName>
    <definedName name="iopi" hidden="1">{TRUE,TRUE,-1.25,-15.5,772.5,492.75,FALSE,TRUE,TRUE,TRUE,0,1,#N/A,1,#N/A,12.7125,22.0869565217391,1,FALSE,FALSE,3,TRUE,1,FALSE,100,"Swvu.Ergebnisüberleitung.","ACwvu.Ergebnisüberleitung.",#N/A,FALSE,FALSE,0.78740157480315,0.78740157480315,0.590551181102362,0.393700787401575,1,"","&amp;L&amp;""Arial,Kursiv""&amp;6&amp;F / &amp;A / &amp;D",FALSE,FALSE,FALSE,FALSE,1,100,#N/A,#N/A,"=R1C1:R39C8",FALSE,"Rwvu.Ergebnisüberleitung.",#N/A,FALSE,FALSE,TRUE,9,65532,65532,FALSE,FALSE,TRUE,TRUE,TRUE}</definedName>
    <definedName name="iopi_1" hidden="1">{TRUE,TRUE,-1.25,-15.5,772.5,492.75,FALSE,TRUE,TRUE,TRUE,0,1,#N/A,1,#N/A,12.7125,22.0869565217391,1,FALSE,FALSE,3,TRUE,1,FALSE,100,"Swvu.Ergebnisüberleitung.","ACwvu.Ergebnisüberleitung.",#N/A,FALSE,FALSE,0.78740157480315,0.78740157480315,0.590551181102362,0.393700787401575,1,"","&amp;L&amp;""Arial,Kursiv""&amp;6&amp;F / &amp;A / &amp;D",FALSE,FALSE,FALSE,FALSE,1,100,#N/A,#N/A,"=R1C1:R39C8",FALSE,"Rwvu.Ergebnisüberleitung.",#N/A,FALSE,FALSE,TRUE,9,65532,65532,FALSE,FALSE,TRUE,TRUE,TRUE}</definedName>
    <definedName name="IQ_ACCOUNT_CHANGE" hidden="1">"c1449"</definedName>
    <definedName name="IQ_ACCOUNTING_STANDARD" hidden="1">"c4539"</definedName>
    <definedName name="IQ_ACCOUNTS_PAY" hidden="1">"c1343"</definedName>
    <definedName name="IQ_ACCR_INT_PAY" hidden="1">"c1"</definedName>
    <definedName name="IQ_ACCR_INT_PAY_CF" hidden="1">"c2"</definedName>
    <definedName name="IQ_ACCR_INT_RECEIV" hidden="1">"c3"</definedName>
    <definedName name="IQ_ACCR_INT_RECEIV_CF" hidden="1">"c4"</definedName>
    <definedName name="IQ_ACCRUED_EXP" hidden="1">"c1341"</definedName>
    <definedName name="IQ_ACCT_RECV_10YR_ANN_CAGR" hidden="1">"c6159"</definedName>
    <definedName name="IQ_ACCT_RECV_10YR_ANN_GROWTH" hidden="1">"c1924"</definedName>
    <definedName name="IQ_ACCT_RECV_1YR_ANN_GROWTH" hidden="1">"c1919"</definedName>
    <definedName name="IQ_ACCT_RECV_2YR_ANN_CAGR" hidden="1">"c6155"</definedName>
    <definedName name="IQ_ACCT_RECV_2YR_ANN_GROWTH" hidden="1">"c1920"</definedName>
    <definedName name="IQ_ACCT_RECV_3YR_ANN_CAGR" hidden="1">"c6156"</definedName>
    <definedName name="IQ_ACCT_RECV_3YR_ANN_GROWTH" hidden="1">"c1921"</definedName>
    <definedName name="IQ_ACCT_RECV_5YR_ANN_CAGR" hidden="1">"c6157"</definedName>
    <definedName name="IQ_ACCT_RECV_5YR_ANN_GROWTH" hidden="1">"c1922"</definedName>
    <definedName name="IQ_ACCT_RECV_7YR_ANN_CAGR" hidden="1">"c6158"</definedName>
    <definedName name="IQ_ACCT_RECV_7YR_ANN_GROWTH" hidden="1">"c1923"</definedName>
    <definedName name="IQ_ACCUM_DEP" hidden="1">"c1340"</definedName>
    <definedName name="IQ_ACCUMULATED_PENSION_OBLIGATION" hidden="1">"c2244"</definedName>
    <definedName name="IQ_ACCUMULATED_PENSION_OBLIGATION_DOMESTIC" hidden="1">"c2657"</definedName>
    <definedName name="IQ_ACCUMULATED_PENSION_OBLIGATION_FOREIGN" hidden="1">"c2665"</definedName>
    <definedName name="IQ_ACQ_COST_SUB" hidden="1">"c2125"</definedName>
    <definedName name="IQ_ACQ_COSTS_CAPITALIZED" hidden="1">"c5"</definedName>
    <definedName name="IQ_ACQUIRE_REAL_ESTATE_CF" hidden="1">"c6"</definedName>
    <definedName name="IQ_ACQUISITION_RE_ASSETS" hidden="1">"c1628"</definedName>
    <definedName name="IQ_AD" hidden="1">"c7"</definedName>
    <definedName name="IQ_ADD_PAID_IN" hidden="1">"c1344"</definedName>
    <definedName name="IQ_ADDIN" hidden="1">"AUTO"</definedName>
    <definedName name="IQ_ADJ_AVG_BANK_ASSETS" hidden="1">"c2671"</definedName>
    <definedName name="IQ_ADMIN_RATIO" hidden="1">"c2784"</definedName>
    <definedName name="IQ_ADVERTISING" hidden="1">"c2246"</definedName>
    <definedName name="IQ_ADVERTISING_MARKETING" hidden="1">"c1566"</definedName>
    <definedName name="IQ_AE" hidden="1">"c8"</definedName>
    <definedName name="IQ_AE_BNK" hidden="1">"c9"</definedName>
    <definedName name="IQ_AE_BR" hidden="1">"c10"</definedName>
    <definedName name="IQ_AE_FIN" hidden="1">"c11"</definedName>
    <definedName name="IQ_AE_INS" hidden="1">"c12"</definedName>
    <definedName name="IQ_AE_RE" hidden="1">"c6195"</definedName>
    <definedName name="IQ_AE_REIT" hidden="1">"c13"</definedName>
    <definedName name="IQ_AE_UTI" hidden="1">"c14"</definedName>
    <definedName name="IQ_AH_EARNED" hidden="1">"c2744"</definedName>
    <definedName name="IQ_AH_POLICY_BENEFITS_EXP" hidden="1">"c2789"</definedName>
    <definedName name="IQ_AIR_AIRPLANES_NOT_IN_SERVICE" hidden="1">"c2842"</definedName>
    <definedName name="IQ_AIR_AIRPLANES_SUBLEASED" hidden="1">"c2841"</definedName>
    <definedName name="IQ_AIR_ASK" hidden="1">"c2813"</definedName>
    <definedName name="IQ_AIR_ASK_INCREASE" hidden="1">"c2826"</definedName>
    <definedName name="IQ_AIR_ASM" hidden="1">"c2812"</definedName>
    <definedName name="IQ_AIR_ASM_INCREASE" hidden="1">"c2825"</definedName>
    <definedName name="IQ_AIR_AVG_AGE" hidden="1">"c2843"</definedName>
    <definedName name="IQ_AIR_BREAK_EVEN_FACTOR" hidden="1">"c2822"</definedName>
    <definedName name="IQ_AIR_CAPITAL_LEASE" hidden="1">"c2833"</definedName>
    <definedName name="IQ_AIR_COMPLETION_FACTOR" hidden="1">"c2824"</definedName>
    <definedName name="IQ_AIR_ENPLANED_PSGRS" hidden="1">"c2809"</definedName>
    <definedName name="IQ_AIR_FUEL_CONSUMED" hidden="1">"c2806"</definedName>
    <definedName name="IQ_AIR_FUEL_CONSUMED_L" hidden="1">"c2807"</definedName>
    <definedName name="IQ_AIR_FUEL_COST" hidden="1">"c2803"</definedName>
    <definedName name="IQ_AIR_FUEL_COST_L" hidden="1">"c2804"</definedName>
    <definedName name="IQ_AIR_FUEL_EXP" hidden="1">"c2802"</definedName>
    <definedName name="IQ_AIR_FUEL_EXP_PERCENT" hidden="1">"c2805"</definedName>
    <definedName name="IQ_AIR_LEASED" hidden="1">"c2835"</definedName>
    <definedName name="IQ_AIR_LOAD_FACTOR" hidden="1">"c2823"</definedName>
    <definedName name="IQ_AIR_NEW_AIRPLANES" hidden="1">"c2839"</definedName>
    <definedName name="IQ_AIR_OPER_EXP_ASK" hidden="1">"c2821"</definedName>
    <definedName name="IQ_AIR_OPER_EXP_ASM" hidden="1">"c2820"</definedName>
    <definedName name="IQ_AIR_OPER_LEASE" hidden="1">"c2834"</definedName>
    <definedName name="IQ_AIR_OPER_REV_YIELD_ASK" hidden="1">"c2819"</definedName>
    <definedName name="IQ_AIR_OPER_REV_YIELD_ASM" hidden="1">"c2818"</definedName>
    <definedName name="IQ_AIR_OPTIONS" hidden="1">"c2837"</definedName>
    <definedName name="IQ_AIR_ORDERS" hidden="1">"c2836"</definedName>
    <definedName name="IQ_AIR_OWNED" hidden="1">"c2832"</definedName>
    <definedName name="IQ_AIR_PSGR_REV_YIELD_ASK" hidden="1">"c2817"</definedName>
    <definedName name="IQ_AIR_PSGR_REV_YIELD_ASM" hidden="1">"c2816"</definedName>
    <definedName name="IQ_AIR_PSGR_REV_YIELD_RPK" hidden="1">"c2815"</definedName>
    <definedName name="IQ_AIR_PSGR_REV_YIELD_RPM" hidden="1">"c2814"</definedName>
    <definedName name="IQ_AIR_PURCHASE_RIGHTS" hidden="1">"c2838"</definedName>
    <definedName name="IQ_AIR_RETIRED_AIRPLANES" hidden="1">"c2840"</definedName>
    <definedName name="IQ_AIR_REV_PSGRS_CARRIED" hidden="1">"c2808"</definedName>
    <definedName name="IQ_AIR_REV_SCHEDULED_SERVICE" hidden="1">"c2830"</definedName>
    <definedName name="IQ_AIR_RPK" hidden="1">"c2811"</definedName>
    <definedName name="IQ_AIR_RPM" hidden="1">"c2810"</definedName>
    <definedName name="IQ_AIR_STAGE_LENGTH" hidden="1">"c2828"</definedName>
    <definedName name="IQ_AIR_STAGE_LENGTH_KM" hidden="1">"c2829"</definedName>
    <definedName name="IQ_AIR_TOTAL" hidden="1">"c2831"</definedName>
    <definedName name="IQ_AIR_UTILIZATION" hidden="1">"c2827"</definedName>
    <definedName name="IQ_ALLOW_BORROW_CONST" hidden="1">"c15"</definedName>
    <definedName name="IQ_ALLOW_CONST" hidden="1">"c1342"</definedName>
    <definedName name="IQ_ALLOW_DOUBT_ACCT" hidden="1">"c2092"</definedName>
    <definedName name="IQ_ALLOW_EQUITY_CONST" hidden="1">"c16"</definedName>
    <definedName name="IQ_ALLOW_LL" hidden="1">"c17"</definedName>
    <definedName name="IQ_ALLOWANCE_10YR_ANN_CAGR" hidden="1">"c6035"</definedName>
    <definedName name="IQ_ALLOWANCE_10YR_ANN_GROWTH" hidden="1">"c18"</definedName>
    <definedName name="IQ_ALLOWANCE_1YR_ANN_GROWTH" hidden="1">"c19"</definedName>
    <definedName name="IQ_ALLOWANCE_2YR_ANN_CAGR" hidden="1">"c6036"</definedName>
    <definedName name="IQ_ALLOWANCE_2YR_ANN_GROWTH" hidden="1">"c20"</definedName>
    <definedName name="IQ_ALLOWANCE_3YR_ANN_CAGR" hidden="1">"c6037"</definedName>
    <definedName name="IQ_ALLOWANCE_3YR_ANN_GROWTH" hidden="1">"c21"</definedName>
    <definedName name="IQ_ALLOWANCE_5YR_ANN_CAGR" hidden="1">"c6038"</definedName>
    <definedName name="IQ_ALLOWANCE_5YR_ANN_GROWTH" hidden="1">"c22"</definedName>
    <definedName name="IQ_ALLOWANCE_7YR_ANN_CAGR" hidden="1">"c6039"</definedName>
    <definedName name="IQ_ALLOWANCE_7YR_ANN_GROWTH" hidden="1">"c23"</definedName>
    <definedName name="IQ_ALLOWANCE_CHARGE_OFFS" hidden="1">"c24"</definedName>
    <definedName name="IQ_ALLOWANCE_NON_PERF_LOANS" hidden="1">"c25"</definedName>
    <definedName name="IQ_ALLOWANCE_TOTAL_LOANS" hidden="1">"c26"</definedName>
    <definedName name="IQ_AMORTIZATION" hidden="1">"c1591"</definedName>
    <definedName name="IQ_AMT_OUT" hidden="1">"c2145"</definedName>
    <definedName name="IQ_ANNU_DISTRIBUTION_UNIT" hidden="1">"c3004"</definedName>
    <definedName name="IQ_ANNUALIZED_DIVIDEND" hidden="1">"c1579"</definedName>
    <definedName name="IQ_ANNUITY_LIAB" hidden="1">"c27"</definedName>
    <definedName name="IQ_ANNUITY_PAY" hidden="1">"c28"</definedName>
    <definedName name="IQ_ANNUITY_POLICY_EXP" hidden="1">"c29"</definedName>
    <definedName name="IQ_ANNUITY_REC" hidden="1">"c30"</definedName>
    <definedName name="IQ_ANNUITY_REV" hidden="1">"c31"</definedName>
    <definedName name="IQ_AP" hidden="1">"c32"</definedName>
    <definedName name="IQ_AP_BNK" hidden="1">"c33"</definedName>
    <definedName name="IQ_AP_BR" hidden="1">"c34"</definedName>
    <definedName name="IQ_AP_FIN" hidden="1">"c35"</definedName>
    <definedName name="IQ_AP_INS" hidden="1">"c36"</definedName>
    <definedName name="IQ_AP_RE" hidden="1">"c6196"</definedName>
    <definedName name="IQ_AP_REIT" hidden="1">"c37"</definedName>
    <definedName name="IQ_AP_UTI" hidden="1">"c38"</definedName>
    <definedName name="IQ_APIC" hidden="1">"c39"</definedName>
    <definedName name="IQ_AR" hidden="1">"c40"</definedName>
    <definedName name="IQ_AR_BR" hidden="1">"c41"</definedName>
    <definedName name="IQ_AR_LT" hidden="1">"c42"</definedName>
    <definedName name="IQ_AR_RE" hidden="1">"c6197"</definedName>
    <definedName name="IQ_AR_REIT" hidden="1">"c43"</definedName>
    <definedName name="IQ_AR_TURNS" hidden="1">"c44"</definedName>
    <definedName name="IQ_AR_UTI" hidden="1">"c45"</definedName>
    <definedName name="IQ_ARPU" hidden="1">"c2126"</definedName>
    <definedName name="IQ_ASSET_MGMT_FEE" hidden="1">"c46"</definedName>
    <definedName name="IQ_ASSET_TURNS" hidden="1">"c47"</definedName>
    <definedName name="IQ_ASSET_WRITEDOWN" hidden="1">"c48"</definedName>
    <definedName name="IQ_ASSET_WRITEDOWN_BNK" hidden="1">"c49"</definedName>
    <definedName name="IQ_ASSET_WRITEDOWN_BR" hidden="1">"c50"</definedName>
    <definedName name="IQ_ASSET_WRITEDOWN_CF" hidden="1">"c51"</definedName>
    <definedName name="IQ_ASSET_WRITEDOWN_CF_BNK" hidden="1">"c52"</definedName>
    <definedName name="IQ_ASSET_WRITEDOWN_CF_BR" hidden="1">"c53"</definedName>
    <definedName name="IQ_ASSET_WRITEDOWN_CF_FIN" hidden="1">"c54"</definedName>
    <definedName name="IQ_ASSET_WRITEDOWN_CF_INS" hidden="1">"c55"</definedName>
    <definedName name="IQ_ASSET_WRITEDOWN_CF_RE" hidden="1">"c6198"</definedName>
    <definedName name="IQ_ASSET_WRITEDOWN_CF_REIT" hidden="1">"c56"</definedName>
    <definedName name="IQ_ASSET_WRITEDOWN_CF_UTI" hidden="1">"c57"</definedName>
    <definedName name="IQ_ASSET_WRITEDOWN_FIN" hidden="1">"c58"</definedName>
    <definedName name="IQ_ASSET_WRITEDOWN_INS" hidden="1">"c59"</definedName>
    <definedName name="IQ_ASSET_WRITEDOWN_RE" hidden="1">"c6199"</definedName>
    <definedName name="IQ_ASSET_WRITEDOWN_REIT" hidden="1">"c60"</definedName>
    <definedName name="IQ_ASSET_WRITEDOWN_UTI" hidden="1">"c61"</definedName>
    <definedName name="IQ_ASSETS_CAP_LEASE_DEPR" hidden="1">"c2068"</definedName>
    <definedName name="IQ_ASSETS_CAP_LEASE_GROSS" hidden="1">"c2069"</definedName>
    <definedName name="IQ_ASSETS_OPER_LEASE_DEPR" hidden="1">"c2070"</definedName>
    <definedName name="IQ_ASSETS_OPER_LEASE_GROSS" hidden="1">"c2071"</definedName>
    <definedName name="IQ_ASSUMED_AH_EARNED" hidden="1">"c2741"</definedName>
    <definedName name="IQ_ASSUMED_EARNED" hidden="1">"c2731"</definedName>
    <definedName name="IQ_ASSUMED_LIFE_EARNED" hidden="1">"c2736"</definedName>
    <definedName name="IQ_ASSUMED_LIFE_IN_FORCE" hidden="1">"c2766"</definedName>
    <definedName name="IQ_ASSUMED_PC_EARNED" hidden="1">"c2746"</definedName>
    <definedName name="IQ_ASSUMED_WRITTEN" hidden="1">"c2725"</definedName>
    <definedName name="IQ_AUDITOR_NAME" hidden="1">"c1539"</definedName>
    <definedName name="IQ_AUDITOR_OPINION" hidden="1">"c1540"</definedName>
    <definedName name="IQ_AUTO_WRITTEN" hidden="1">"c62"</definedName>
    <definedName name="IQ_AVG_BANK_ASSETS" hidden="1">"c2072"</definedName>
    <definedName name="IQ_AVG_BANK_LOANS" hidden="1">"c2073"</definedName>
    <definedName name="IQ_AVG_BROKER_REC" hidden="1">"c63"</definedName>
    <definedName name="IQ_AVG_BROKER_REC_NO" hidden="1">"c64"</definedName>
    <definedName name="IQ_AVG_BROKER_REC_NO_REUT" hidden="1">"c5315"</definedName>
    <definedName name="IQ_AVG_BROKER_REC_REUT" hidden="1">"c3630"</definedName>
    <definedName name="IQ_AVG_DAILY_VOL" hidden="1">"c65"</definedName>
    <definedName name="IQ_AVG_EMPLOYEES" hidden="1">"c6019"</definedName>
    <definedName name="IQ_AVG_INDUSTRY_REC" hidden="1">"c4455"</definedName>
    <definedName name="IQ_AVG_INDUSTRY_REC_NO" hidden="1">"c4454"</definedName>
    <definedName name="IQ_AVG_INT_BEAR_LIAB" hidden="1">"c66"</definedName>
    <definedName name="IQ_AVG_INT_BEAR_LIAB_10YR_ANN_CAGR" hidden="1">"c6040"</definedName>
    <definedName name="IQ_AVG_INT_BEAR_LIAB_10YR_ANN_GROWTH" hidden="1">"c67"</definedName>
    <definedName name="IQ_AVG_INT_BEAR_LIAB_1YR_ANN_GROWTH" hidden="1">"c68"</definedName>
    <definedName name="IQ_AVG_INT_BEAR_LIAB_2YR_ANN_CAGR" hidden="1">"c6041"</definedName>
    <definedName name="IQ_AVG_INT_BEAR_LIAB_2YR_ANN_GROWTH" hidden="1">"c69"</definedName>
    <definedName name="IQ_AVG_INT_BEAR_LIAB_3YR_ANN_CAGR" hidden="1">"c6042"</definedName>
    <definedName name="IQ_AVG_INT_BEAR_LIAB_3YR_ANN_GROWTH" hidden="1">"c70"</definedName>
    <definedName name="IQ_AVG_INT_BEAR_LIAB_5YR_ANN_CAGR" hidden="1">"c6043"</definedName>
    <definedName name="IQ_AVG_INT_BEAR_LIAB_5YR_ANN_GROWTH" hidden="1">"c71"</definedName>
    <definedName name="IQ_AVG_INT_BEAR_LIAB_7YR_ANN_CAGR" hidden="1">"c6044"</definedName>
    <definedName name="IQ_AVG_INT_BEAR_LIAB_7YR_ANN_GROWTH" hidden="1">"c72"</definedName>
    <definedName name="IQ_AVG_INT_EARN_ASSETS" hidden="1">"c73"</definedName>
    <definedName name="IQ_AVG_INT_EARN_ASSETS_10YR_ANN_CAGR" hidden="1">"c6045"</definedName>
    <definedName name="IQ_AVG_INT_EARN_ASSETS_10YR_ANN_GROWTH" hidden="1">"c74"</definedName>
    <definedName name="IQ_AVG_INT_EARN_ASSETS_1YR_ANN_GROWTH" hidden="1">"c75"</definedName>
    <definedName name="IQ_AVG_INT_EARN_ASSETS_2YR_ANN_CAGR" hidden="1">"c6046"</definedName>
    <definedName name="IQ_AVG_INT_EARN_ASSETS_2YR_ANN_GROWTH" hidden="1">"c76"</definedName>
    <definedName name="IQ_AVG_INT_EARN_ASSETS_3YR_ANN_CAGR" hidden="1">"c6047"</definedName>
    <definedName name="IQ_AVG_INT_EARN_ASSETS_3YR_ANN_GROWTH" hidden="1">"c77"</definedName>
    <definedName name="IQ_AVG_INT_EARN_ASSETS_5YR_ANN_CAGR" hidden="1">"c6048"</definedName>
    <definedName name="IQ_AVG_INT_EARN_ASSETS_5YR_ANN_GROWTH" hidden="1">"c78"</definedName>
    <definedName name="IQ_AVG_INT_EARN_ASSETS_7YR_ANN_CAGR" hidden="1">"c6049"</definedName>
    <definedName name="IQ_AVG_INT_EARN_ASSETS_7YR_ANN_GROWTH" hidden="1">"c79"</definedName>
    <definedName name="IQ_AVG_MKTCAP" hidden="1">"c80"</definedName>
    <definedName name="IQ_AVG_PRICE" hidden="1">"c81"</definedName>
    <definedName name="IQ_AVG_SHAREOUTSTANDING" hidden="1">"c83"</definedName>
    <definedName name="IQ_AVG_TEMP_EMPLOYEES" hidden="1">"c6020"</definedName>
    <definedName name="IQ_AVG_TEV" hidden="1">"c84"</definedName>
    <definedName name="IQ_AVG_VOLUME" hidden="1">"c1346"</definedName>
    <definedName name="IQ_BANK_DEBT" hidden="1">"c2544"</definedName>
    <definedName name="IQ_BANK_DEBT_PCT" hidden="1">"c2545"</definedName>
    <definedName name="IQ_BASIC_EPS_EXCL" hidden="1">"c85"</definedName>
    <definedName name="IQ_BASIC_EPS_INCL" hidden="1">"c86"</definedName>
    <definedName name="IQ_BASIC_NORMAL_EPS" hidden="1">"c1592"</definedName>
    <definedName name="IQ_BASIC_OUTSTANDING_CURRENT_EST" hidden="1">"c4128"</definedName>
    <definedName name="IQ_BASIC_OUTSTANDING_CURRENT_HIGH_EST" hidden="1">"c4129"</definedName>
    <definedName name="IQ_BASIC_OUTSTANDING_CURRENT_LOW_EST" hidden="1">"c4130"</definedName>
    <definedName name="IQ_BASIC_OUTSTANDING_CURRENT_MEDIAN_EST" hidden="1">"c4131"</definedName>
    <definedName name="IQ_BASIC_OUTSTANDING_CURRENT_NUM_EST" hidden="1">"c4132"</definedName>
    <definedName name="IQ_BASIC_OUTSTANDING_CURRENT_STDDEV_EST" hidden="1">"c4133"</definedName>
    <definedName name="IQ_BASIC_OUTSTANDING_EST" hidden="1">"c4134"</definedName>
    <definedName name="IQ_BASIC_OUTSTANDING_HIGH_EST" hidden="1">"c4135"</definedName>
    <definedName name="IQ_BASIC_OUTSTANDING_LOW_EST" hidden="1">"c4136"</definedName>
    <definedName name="IQ_BASIC_OUTSTANDING_MEDIAN_EST" hidden="1">"c4137"</definedName>
    <definedName name="IQ_BASIC_OUTSTANDING_NUM_EST" hidden="1">"c4138"</definedName>
    <definedName name="IQ_BASIC_OUTSTANDING_STDDEV_EST" hidden="1">"c4139"</definedName>
    <definedName name="IQ_BASIC_WEIGHT" hidden="1">"c87"</definedName>
    <definedName name="IQ_BASIC_WEIGHT_EST" hidden="1">"c4140"</definedName>
    <definedName name="IQ_BASIC_WEIGHT_GUIDANCE" hidden="1">"c4141"</definedName>
    <definedName name="IQ_BASIC_WEIGHT_HIGH_EST" hidden="1">"c4142"</definedName>
    <definedName name="IQ_BASIC_WEIGHT_LOW_EST" hidden="1">"c4143"</definedName>
    <definedName name="IQ_BASIC_WEIGHT_MEDIAN_EST" hidden="1">"c4144"</definedName>
    <definedName name="IQ_BASIC_WEIGHT_NUM_EST" hidden="1">"c4145"</definedName>
    <definedName name="IQ_BASIC_WEIGHT_STDDEV_EST" hidden="1">"c4146"</definedName>
    <definedName name="IQ_BENCHMARK_SECURITY" hidden="1">"c2154"</definedName>
    <definedName name="IQ_BENCHMARK_SPRD" hidden="1">"c2153"</definedName>
    <definedName name="IQ_BETA" hidden="1">"c2133"</definedName>
    <definedName name="IQ_BETA_1YR" hidden="1">"c1966"</definedName>
    <definedName name="IQ_BETA_1YR_RSQ" hidden="1">"c2132"</definedName>
    <definedName name="IQ_BETA_2YR" hidden="1">"c1965"</definedName>
    <definedName name="IQ_BETA_2YR_RSQ" hidden="1">"c2131"</definedName>
    <definedName name="IQ_BETA_5YR" hidden="1">"c88"</definedName>
    <definedName name="IQ_BETA_5YR_RSQ" hidden="1">"c2130"</definedName>
    <definedName name="IQ_BIG_INT_BEAR_CD" hidden="1">"c89"</definedName>
    <definedName name="IQ_BOARD_MEMBER" hidden="1">"c96"</definedName>
    <definedName name="IQ_BOARD_MEMBER_BACKGROUND" hidden="1">"c2101"</definedName>
    <definedName name="IQ_BOARD_MEMBER_TITLE" hidden="1">"c97"</definedName>
    <definedName name="IQ_BOND_COUPON" hidden="1">"c2183"</definedName>
    <definedName name="IQ_BOND_COUPON_TYPE" hidden="1">"c2184"</definedName>
    <definedName name="IQ_BOND_PRICE" hidden="1">"c2162"</definedName>
    <definedName name="IQ_BROK_COMISSION" hidden="1">"c98"</definedName>
    <definedName name="IQ_BROK_COMMISSION" hidden="1">"c3514"</definedName>
    <definedName name="IQ_BUILDINGS" hidden="1">"c99"</definedName>
    <definedName name="IQ_BUS_SEG_ASSETS" hidden="1">"c4067"</definedName>
    <definedName name="IQ_BUS_SEG_ASSETS_ABS" hidden="1">"c4089"</definedName>
    <definedName name="IQ_BUS_SEG_ASSETS_TOTAL" hidden="1">"c4112"</definedName>
    <definedName name="IQ_BUS_SEG_CAPEX" hidden="1">"c4079"</definedName>
    <definedName name="IQ_BUS_SEG_CAPEX_ABS" hidden="1">"c4101"</definedName>
    <definedName name="IQ_BUS_SEG_CAPEX_TOTAL" hidden="1">"c4116"</definedName>
    <definedName name="IQ_BUS_SEG_DA" hidden="1">"c4078"</definedName>
    <definedName name="IQ_BUS_SEG_DA_ABS" hidden="1">"c4100"</definedName>
    <definedName name="IQ_BUS_SEG_DA_TOTAL" hidden="1">"c4115"</definedName>
    <definedName name="IQ_BUS_SEG_EARNINGS_OP" hidden="1">"c4063"</definedName>
    <definedName name="IQ_BUS_SEG_EARNINGS_OP_ABS" hidden="1">"c4085"</definedName>
    <definedName name="IQ_BUS_SEG_EARNINGS_OP_TOTAL" hidden="1">"c4108"</definedName>
    <definedName name="IQ_BUS_SEG_EBT" hidden="1">"c4064"</definedName>
    <definedName name="IQ_BUS_SEG_EBT_ABS" hidden="1">"c4086"</definedName>
    <definedName name="IQ_BUS_SEG_EBT_TOTAL" hidden="1">"c4110"</definedName>
    <definedName name="IQ_BUS_SEG_GP" hidden="1">"c4066"</definedName>
    <definedName name="IQ_BUS_SEG_GP_ABS" hidden="1">"c4088"</definedName>
    <definedName name="IQ_BUS_SEG_GP_TOTAL" hidden="1">"c4109"</definedName>
    <definedName name="IQ_BUS_SEG_INC_TAX" hidden="1">"c4077"</definedName>
    <definedName name="IQ_BUS_SEG_INC_TAX_ABS" hidden="1">"c4099"</definedName>
    <definedName name="IQ_BUS_SEG_INC_TAX_TOTAL" hidden="1">"c4114"</definedName>
    <definedName name="IQ_BUS_SEG_INTEREST_EXP" hidden="1">"c4076"</definedName>
    <definedName name="IQ_BUS_SEG_INTEREST_EXP_ABS" hidden="1">"c4098"</definedName>
    <definedName name="IQ_BUS_SEG_INTEREST_EXP_TOTAL" hidden="1">"c4113"</definedName>
    <definedName name="IQ_BUS_SEG_NAME" hidden="1">"c5482"</definedName>
    <definedName name="IQ_BUS_SEG_NAME_ABS" hidden="1">"c5483"</definedName>
    <definedName name="IQ_BUS_SEG_NI" hidden="1">"c4065"</definedName>
    <definedName name="IQ_BUS_SEG_NI_ABS" hidden="1">"c4087"</definedName>
    <definedName name="IQ_BUS_SEG_NI_TOTAL" hidden="1">"c4111"</definedName>
    <definedName name="IQ_BUS_SEG_OPER_INC" hidden="1">"c4062"</definedName>
    <definedName name="IQ_BUS_SEG_OPER_INC_ABS" hidden="1">"c4084"</definedName>
    <definedName name="IQ_BUS_SEG_OPER_INC_TOTAL" hidden="1">"c4107"</definedName>
    <definedName name="IQ_BUS_SEG_REV" hidden="1">"c4068"</definedName>
    <definedName name="IQ_BUS_SEG_REV_ABS" hidden="1">"c4090"</definedName>
    <definedName name="IQ_BUS_SEG_REV_TOTAL" hidden="1">"c4106"</definedName>
    <definedName name="IQ_BUSINESS_DESCRIPTION" hidden="1">"c322"</definedName>
    <definedName name="IQ_BV_ACT_OR_EST_REUT" hidden="1">"c5471"</definedName>
    <definedName name="IQ_BV_EST" hidden="1">"c5624"</definedName>
    <definedName name="IQ_BV_EST_REUT" hidden="1">"c5403"</definedName>
    <definedName name="IQ_BV_HIGH_EST" hidden="1">"c5626"</definedName>
    <definedName name="IQ_BV_HIGH_EST_REUT" hidden="1">"c5405"</definedName>
    <definedName name="IQ_BV_LOW_EST" hidden="1">"c5627"</definedName>
    <definedName name="IQ_BV_LOW_EST_REUT" hidden="1">"c5406"</definedName>
    <definedName name="IQ_BV_MEDIAN_EST" hidden="1">"c5625"</definedName>
    <definedName name="IQ_BV_MEDIAN_EST_REUT" hidden="1">"c5404"</definedName>
    <definedName name="IQ_BV_NUM_EST" hidden="1">"c5628"</definedName>
    <definedName name="IQ_BV_NUM_EST_REUT" hidden="1">"c5407"</definedName>
    <definedName name="IQ_BV_OVER_SHARES" hidden="1">"c1349"</definedName>
    <definedName name="IQ_BV_SHARE" hidden="1">"c100"</definedName>
    <definedName name="IQ_BV_SHARE_ACT_OR_EST" hidden="1">"c3587"</definedName>
    <definedName name="IQ_BV_SHARE_ACT_OR_EST_REUT" hidden="1">"c5477"</definedName>
    <definedName name="IQ_BV_SHARE_EST" hidden="1">"c3541"</definedName>
    <definedName name="IQ_BV_SHARE_EST_REUT" hidden="1">"c5439"</definedName>
    <definedName name="IQ_BV_SHARE_HIGH_EST" hidden="1">"c3542"</definedName>
    <definedName name="IQ_BV_SHARE_HIGH_EST_REUT" hidden="1">"c5441"</definedName>
    <definedName name="IQ_BV_SHARE_LOW_EST" hidden="1">"c3543"</definedName>
    <definedName name="IQ_BV_SHARE_LOW_EST_REUT" hidden="1">"c5442"</definedName>
    <definedName name="IQ_BV_SHARE_MEDIAN_EST" hidden="1">"c3544"</definedName>
    <definedName name="IQ_BV_SHARE_MEDIAN_EST_REUT" hidden="1">"c5440"</definedName>
    <definedName name="IQ_BV_SHARE_NUM_EST" hidden="1">"c3539"</definedName>
    <definedName name="IQ_BV_SHARE_NUM_EST_REUT" hidden="1">"c5443"</definedName>
    <definedName name="IQ_BV_SHARE_STDDEV_EST" hidden="1">"c3540"</definedName>
    <definedName name="IQ_BV_SHARE_STDDEV_EST_REUT" hidden="1">"c5444"</definedName>
    <definedName name="IQ_BV_STDDEV_EST" hidden="1">"c5629"</definedName>
    <definedName name="IQ_BV_STDDEV_EST_REUT" hidden="1">"c5408"</definedName>
    <definedName name="IQ_CABLE_ARPU" hidden="1">"c2869"</definedName>
    <definedName name="IQ_CABLE_ARPU_ANALOG" hidden="1">"c2864"</definedName>
    <definedName name="IQ_CABLE_ARPU_BASIC" hidden="1">"c2866"</definedName>
    <definedName name="IQ_CABLE_ARPU_BBAND" hidden="1">"c2867"</definedName>
    <definedName name="IQ_CABLE_ARPU_DIG" hidden="1">"c2865"</definedName>
    <definedName name="IQ_CABLE_ARPU_PHONE" hidden="1">"c2868"</definedName>
    <definedName name="IQ_CABLE_BASIC_PENETRATION" hidden="1">"c2850"</definedName>
    <definedName name="IQ_CABLE_BBAND_PENETRATION" hidden="1">"c2852"</definedName>
    <definedName name="IQ_CABLE_BBAND_PENETRATION_THP" hidden="1">"c2851"</definedName>
    <definedName name="IQ_CABLE_CHURN" hidden="1">"c2874"</definedName>
    <definedName name="IQ_CABLE_CHURN_BASIC" hidden="1">"c2871"</definedName>
    <definedName name="IQ_CABLE_CHURN_BBAND" hidden="1">"c2872"</definedName>
    <definedName name="IQ_CABLE_CHURN_DIG" hidden="1">"c2870"</definedName>
    <definedName name="IQ_CABLE_CHURN_PHONE" hidden="1">"c2873"</definedName>
    <definedName name="IQ_CABLE_HOMES_PER_MILE" hidden="1">"c2849"</definedName>
    <definedName name="IQ_CABLE_HP_BBAND" hidden="1">"c2845"</definedName>
    <definedName name="IQ_CABLE_HP_DIG" hidden="1">"c2844"</definedName>
    <definedName name="IQ_CABLE_HP_PHONE" hidden="1">"c2846"</definedName>
    <definedName name="IQ_CABLE_MILES_PASSED" hidden="1">"c2848"</definedName>
    <definedName name="IQ_CABLE_OTHER_REV" hidden="1">"c2882"</definedName>
    <definedName name="IQ_CABLE_PHONE_PENETRATION" hidden="1">"c2853"</definedName>
    <definedName name="IQ_CABLE_PROGRAMMING_COSTS" hidden="1">"c2884"</definedName>
    <definedName name="IQ_CABLE_REV_ADVERT" hidden="1">"c2880"</definedName>
    <definedName name="IQ_CABLE_REV_ANALOG" hidden="1">"c2875"</definedName>
    <definedName name="IQ_CABLE_REV_BASIC" hidden="1">"c2877"</definedName>
    <definedName name="IQ_CABLE_REV_BBAND" hidden="1">"c2878"</definedName>
    <definedName name="IQ_CABLE_REV_COMMERCIAL" hidden="1">"c2881"</definedName>
    <definedName name="IQ_CABLE_REV_DIG" hidden="1">"c2876"</definedName>
    <definedName name="IQ_CABLE_REV_PHONE" hidden="1">"c2879"</definedName>
    <definedName name="IQ_CABLE_RGU" hidden="1">"c2863"</definedName>
    <definedName name="IQ_CABLE_SUBS_ANALOG" hidden="1">"c2855"</definedName>
    <definedName name="IQ_CABLE_SUBS_BASIC" hidden="1">"c2857"</definedName>
    <definedName name="IQ_CABLE_SUBS_BBAND" hidden="1">"c2858"</definedName>
    <definedName name="IQ_CABLE_SUBS_BUNDLED" hidden="1">"c2861"</definedName>
    <definedName name="IQ_CABLE_SUBS_DIG" hidden="1">"c2856"</definedName>
    <definedName name="IQ_CABLE_SUBS_NON_VIDEO" hidden="1">"c2860"</definedName>
    <definedName name="IQ_CABLE_SUBS_PHONE" hidden="1">"c2859"</definedName>
    <definedName name="IQ_CABLE_SUBS_TOTAL" hidden="1">"c2862"</definedName>
    <definedName name="IQ_CABLE_THP" hidden="1">"c2847"</definedName>
    <definedName name="IQ_CABLE_TOTAL_PENETRATION" hidden="1">"c2854"</definedName>
    <definedName name="IQ_CABLE_TOTAL_REV" hidden="1">"c2883"</definedName>
    <definedName name="IQ_CAL_Q" hidden="1">"c101"</definedName>
    <definedName name="IQ_CAL_Y" hidden="1">"c102"</definedName>
    <definedName name="IQ_CALC_TYPE_BS" hidden="1">"c3086"</definedName>
    <definedName name="IQ_CALC_TYPE_CF" hidden="1">"c3085"</definedName>
    <definedName name="IQ_CALC_TYPE_IS" hidden="1">"c3084"</definedName>
    <definedName name="IQ_CALL_DATE_SCHEDULE" hidden="1">"c2481"</definedName>
    <definedName name="IQ_CALL_FEATURE" hidden="1">"c2197"</definedName>
    <definedName name="IQ_CALL_PRICE_SCHEDULE" hidden="1">"c2482"</definedName>
    <definedName name="IQ_CALLABLE" hidden="1">"c2196"</definedName>
    <definedName name="IQ_CAP_LOSS_CF_1YR" hidden="1">"c3474"</definedName>
    <definedName name="IQ_CAP_LOSS_CF_2YR" hidden="1">"c3475"</definedName>
    <definedName name="IQ_CAP_LOSS_CF_3YR" hidden="1">"c3476"</definedName>
    <definedName name="IQ_CAP_LOSS_CF_4YR" hidden="1">"c3477"</definedName>
    <definedName name="IQ_CAP_LOSS_CF_5YR" hidden="1">"c3478"</definedName>
    <definedName name="IQ_CAP_LOSS_CF_AFTER_FIVE" hidden="1">"c3479"</definedName>
    <definedName name="IQ_CAP_LOSS_CF_MAX_YEAR" hidden="1">"c3482"</definedName>
    <definedName name="IQ_CAP_LOSS_CF_NO_EXP" hidden="1">"c3480"</definedName>
    <definedName name="IQ_CAP_LOSS_CF_TOTAL" hidden="1">"c3481"</definedName>
    <definedName name="IQ_CAPEX" hidden="1">"c103"</definedName>
    <definedName name="IQ_CAPEX_10YR_ANN_CAGR" hidden="1">"c6050"</definedName>
    <definedName name="IQ_CAPEX_10YR_ANN_GROWTH" hidden="1">"c104"</definedName>
    <definedName name="IQ_CAPEX_1YR_ANN_GROWTH" hidden="1">"c105"</definedName>
    <definedName name="IQ_CAPEX_2YR_ANN_CAGR" hidden="1">"c6051"</definedName>
    <definedName name="IQ_CAPEX_2YR_ANN_GROWTH" hidden="1">"c106"</definedName>
    <definedName name="IQ_CAPEX_3YR_ANN_CAGR" hidden="1">"c6052"</definedName>
    <definedName name="IQ_CAPEX_3YR_ANN_GROWTH" hidden="1">"c107"</definedName>
    <definedName name="IQ_CAPEX_5YR_ANN_CAGR" hidden="1">"c6053"</definedName>
    <definedName name="IQ_CAPEX_5YR_ANN_GROWTH" hidden="1">"c108"</definedName>
    <definedName name="IQ_CAPEX_7YR_ANN_CAGR" hidden="1">"c6054"</definedName>
    <definedName name="IQ_CAPEX_7YR_ANN_GROWTH" hidden="1">"c109"</definedName>
    <definedName name="IQ_CAPEX_ACT_OR_EST" hidden="1">"c3584"</definedName>
    <definedName name="IQ_CAPEX_ACT_OR_EST_REUT" hidden="1">"c5474"</definedName>
    <definedName name="IQ_CAPEX_BNK" hidden="1">"c110"</definedName>
    <definedName name="IQ_CAPEX_BR" hidden="1">"c111"</definedName>
    <definedName name="IQ_CAPEX_EST" hidden="1">"c3523"</definedName>
    <definedName name="IQ_CAPEX_EST_REUT" hidden="1">"c3969"</definedName>
    <definedName name="IQ_CAPEX_FIN" hidden="1">"c112"</definedName>
    <definedName name="IQ_CAPEX_GUIDANCE" hidden="1">"c4150"</definedName>
    <definedName name="IQ_CAPEX_HIGH_EST" hidden="1">"c3524"</definedName>
    <definedName name="IQ_CAPEX_HIGH_EST_REUT" hidden="1">"c3971"</definedName>
    <definedName name="IQ_CAPEX_HIGH_GUIDANCE" hidden="1">"c4180"</definedName>
    <definedName name="IQ_CAPEX_INS" hidden="1">"c113"</definedName>
    <definedName name="IQ_CAPEX_LOW_EST" hidden="1">"c3525"</definedName>
    <definedName name="IQ_CAPEX_LOW_EST_REUT" hidden="1">"c3972"</definedName>
    <definedName name="IQ_CAPEX_LOW_GUIDANCE" hidden="1">"c4220"</definedName>
    <definedName name="IQ_CAPEX_MEDIAN_EST" hidden="1">"c3526"</definedName>
    <definedName name="IQ_CAPEX_MEDIAN_EST_REUT" hidden="1">"c3970"</definedName>
    <definedName name="IQ_CAPEX_NUM_EST" hidden="1">"c3521"</definedName>
    <definedName name="IQ_CAPEX_NUM_EST_REUT" hidden="1">"c3973"</definedName>
    <definedName name="IQ_CAPEX_STDDEV_EST" hidden="1">"c3522"</definedName>
    <definedName name="IQ_CAPEX_STDDEV_EST_REUT" hidden="1">"c3974"</definedName>
    <definedName name="IQ_CAPEX_UTI" hidden="1">"c114"</definedName>
    <definedName name="IQ_CAPITAL_LEASE" hidden="1">"c1350"</definedName>
    <definedName name="IQ_CAPITAL_LEASES" hidden="1">"c115"</definedName>
    <definedName name="IQ_CAPITAL_LEASES_TOTAL" hidden="1">"c3031"</definedName>
    <definedName name="IQ_CAPITAL_LEASES_TOTAL_PCT" hidden="1">"c2506"</definedName>
    <definedName name="IQ_CAPITALIZED_INTEREST" hidden="1">"c3460"</definedName>
    <definedName name="IQ_CAPITALIZED_INTEREST_BOP" hidden="1">"c3459"</definedName>
    <definedName name="IQ_CAPITALIZED_INTEREST_EOP" hidden="1">"c3464"</definedName>
    <definedName name="IQ_CAPITALIZED_INTEREST_EXP" hidden="1">"c3461"</definedName>
    <definedName name="IQ_CAPITALIZED_INTEREST_OTHER_ADJ" hidden="1">"c3463"</definedName>
    <definedName name="IQ_CAPITALIZED_INTEREST_WRITE_OFF" hidden="1">"c3462"</definedName>
    <definedName name="IQ_CASH" hidden="1">"c1458"</definedName>
    <definedName name="IQ_CASH_ACQUIRE_CF" hidden="1">"c116"</definedName>
    <definedName name="IQ_CASH_CONVERSION" hidden="1">"c117"</definedName>
    <definedName name="IQ_CASH_DUE_BANKS" hidden="1">"c1351"</definedName>
    <definedName name="IQ_CASH_EPS_ACT_OR_EST" hidden="1">"c5638"</definedName>
    <definedName name="IQ_CASH_EPS_EST" hidden="1">"c5631"</definedName>
    <definedName name="IQ_CASH_EPS_HIGH_EST" hidden="1">"c5633"</definedName>
    <definedName name="IQ_CASH_EPS_LOW_EST" hidden="1">"c5634"</definedName>
    <definedName name="IQ_CASH_EPS_MEDIAN_EST" hidden="1">"c5632"</definedName>
    <definedName name="IQ_CASH_EPS_NUM_EST" hidden="1">"c5635"</definedName>
    <definedName name="IQ_CASH_EPS_STDDEV_EST" hidden="1">"c5636"</definedName>
    <definedName name="IQ_CASH_EQUIV" hidden="1">"c118"</definedName>
    <definedName name="IQ_CASH_FINAN" hidden="1">"c119"</definedName>
    <definedName name="IQ_CASH_FLOW_ACT_OR_EST" hidden="1">"c4154"</definedName>
    <definedName name="IQ_CASH_FLOW_EST" hidden="1">"c4153"</definedName>
    <definedName name="IQ_CASH_FLOW_GUIDANCE" hidden="1">"c4155"</definedName>
    <definedName name="IQ_CASH_FLOW_HIGH_EST" hidden="1">"c4156"</definedName>
    <definedName name="IQ_CASH_FLOW_HIGH_GUIDANCE" hidden="1">"c4201"</definedName>
    <definedName name="IQ_CASH_FLOW_LOW_EST" hidden="1">"c4157"</definedName>
    <definedName name="IQ_CASH_FLOW_LOW_GUIDANCE" hidden="1">"c4241"</definedName>
    <definedName name="IQ_CASH_FLOW_MEDIAN_EST" hidden="1">"c4158"</definedName>
    <definedName name="IQ_CASH_FLOW_NUM_EST" hidden="1">"c4159"</definedName>
    <definedName name="IQ_CASH_FLOW_STDDEV_EST" hidden="1">"c4160"</definedName>
    <definedName name="IQ_CASH_INTEREST" hidden="1">"c120"</definedName>
    <definedName name="IQ_CASH_INVEST" hidden="1">"c121"</definedName>
    <definedName name="IQ_CASH_OPER" hidden="1">"c122"</definedName>
    <definedName name="IQ_CASH_OPER_ACT_OR_EST" hidden="1">"c4164"</definedName>
    <definedName name="IQ_CASH_OPER_EST" hidden="1">"c4163"</definedName>
    <definedName name="IQ_CASH_OPER_GUIDANCE" hidden="1">"c4165"</definedName>
    <definedName name="IQ_CASH_OPER_HIGH_EST" hidden="1">"c4166"</definedName>
    <definedName name="IQ_CASH_OPER_HIGH_GUIDANCE" hidden="1">"c4185"</definedName>
    <definedName name="IQ_CASH_OPER_LOW_EST" hidden="1">"c4244"</definedName>
    <definedName name="IQ_CASH_OPER_LOW_GUIDANCE" hidden="1">"c4225"</definedName>
    <definedName name="IQ_CASH_OPER_MEDIAN_EST" hidden="1">"c4245"</definedName>
    <definedName name="IQ_CASH_OPER_NUM_EST" hidden="1">"c4246"</definedName>
    <definedName name="IQ_CASH_OPER_STDDEV_EST" hidden="1">"c4247"</definedName>
    <definedName name="IQ_CASH_SEGREG" hidden="1">"c123"</definedName>
    <definedName name="IQ_CASH_SHARE" hidden="1">"c1911"</definedName>
    <definedName name="IQ_CASH_ST" hidden="1">"c1355"</definedName>
    <definedName name="IQ_CASH_ST_INVEST" hidden="1">"c124"</definedName>
    <definedName name="IQ_CASH_ST_INVEST_EST" hidden="1">"c4249"</definedName>
    <definedName name="IQ_CASH_ST_INVEST_GUIDANCE" hidden="1">"c4250"</definedName>
    <definedName name="IQ_CASH_ST_INVEST_HIGH_EST" hidden="1">"c4251"</definedName>
    <definedName name="IQ_CASH_ST_INVEST_HIGH_GUIDANCE" hidden="1">"c4195"</definedName>
    <definedName name="IQ_CASH_ST_INVEST_LOW_EST" hidden="1">"c4252"</definedName>
    <definedName name="IQ_CASH_ST_INVEST_LOW_GUIDANCE" hidden="1">"c4235"</definedName>
    <definedName name="IQ_CASH_ST_INVEST_MEDIAN_EST" hidden="1">"c4253"</definedName>
    <definedName name="IQ_CASH_ST_INVEST_NUM_EST" hidden="1">"c4254"</definedName>
    <definedName name="IQ_CASH_ST_INVEST_STDDEV_EST" hidden="1">"c4255"</definedName>
    <definedName name="IQ_CASH_TAXES" hidden="1">"c125"</definedName>
    <definedName name="IQ_CDS_ASK" hidden="1">"c6027"</definedName>
    <definedName name="IQ_CDS_BID" hidden="1">"c6026"</definedName>
    <definedName name="IQ_CDS_CURRENCY" hidden="1">"c6031"</definedName>
    <definedName name="IQ_CDS_EVAL_DATE" hidden="1">"c6029"</definedName>
    <definedName name="IQ_CDS_MID" hidden="1">"c6028"</definedName>
    <definedName name="IQ_CDS_NAME" hidden="1">"c6034"</definedName>
    <definedName name="IQ_CDS_TERM" hidden="1">"c6030"</definedName>
    <definedName name="IQ_CDS_TYPE" hidden="1">"c6025"</definedName>
    <definedName name="IQ_CEDED_AH_EARNED" hidden="1">"c2743"</definedName>
    <definedName name="IQ_CEDED_CLAIM_EXP_INCUR" hidden="1">"c2756"</definedName>
    <definedName name="IQ_CEDED_CLAIM_EXP_PAID" hidden="1">"c2759"</definedName>
    <definedName name="IQ_CEDED_CLAIM_EXP_RES" hidden="1">"c2753"</definedName>
    <definedName name="IQ_CEDED_EARNED" hidden="1">"c2733"</definedName>
    <definedName name="IQ_CEDED_LIFE_EARNED" hidden="1">"c2738"</definedName>
    <definedName name="IQ_CEDED_LIFE_IN_FORCE" hidden="1">"c2768"</definedName>
    <definedName name="IQ_CEDED_PC_EARNED" hidden="1">"c2748"</definedName>
    <definedName name="IQ_CEDED_WRITTEN" hidden="1">"c2727"</definedName>
    <definedName name="IQ_CFO_10YR_ANN_CAGR" hidden="1">"c6055"</definedName>
    <definedName name="IQ_CFO_10YR_ANN_GROWTH" hidden="1">"c126"</definedName>
    <definedName name="IQ_CFO_1YR_ANN_GROWTH" hidden="1">"c127"</definedName>
    <definedName name="IQ_CFO_2YR_ANN_CAGR" hidden="1">"c6056"</definedName>
    <definedName name="IQ_CFO_2YR_ANN_GROWTH" hidden="1">"c128"</definedName>
    <definedName name="IQ_CFO_3YR_ANN_CAGR" hidden="1">"c6057"</definedName>
    <definedName name="IQ_CFO_3YR_ANN_GROWTH" hidden="1">"c129"</definedName>
    <definedName name="IQ_CFO_5YR_ANN_CAGR" hidden="1">"c6058"</definedName>
    <definedName name="IQ_CFO_5YR_ANN_GROWTH" hidden="1">"c130"</definedName>
    <definedName name="IQ_CFO_7YR_ANN_CAGR" hidden="1">"c6059"</definedName>
    <definedName name="IQ_CFO_7YR_ANN_GROWTH" hidden="1">"c131"</definedName>
    <definedName name="IQ_CFO_CURRENT_LIAB" hidden="1">"c132"</definedName>
    <definedName name="IQ_CFPS_ACT_OR_EST" hidden="1">"c2217"</definedName>
    <definedName name="IQ_CFPS_ACT_OR_EST_REUT" hidden="1">"c5463"</definedName>
    <definedName name="IQ_CFPS_EST" hidden="1">"c1667"</definedName>
    <definedName name="IQ_CFPS_EST_REUT" hidden="1">"c3844"</definedName>
    <definedName name="IQ_CFPS_GUIDANCE" hidden="1">"c4256"</definedName>
    <definedName name="IQ_CFPS_HIGH_EST" hidden="1">"c1669"</definedName>
    <definedName name="IQ_CFPS_HIGH_EST_REUT" hidden="1">"c3846"</definedName>
    <definedName name="IQ_CFPS_HIGH_GUIDANCE" hidden="1">"c4167"</definedName>
    <definedName name="IQ_CFPS_LOW_EST" hidden="1">"c1670"</definedName>
    <definedName name="IQ_CFPS_LOW_EST_REUT" hidden="1">"c3847"</definedName>
    <definedName name="IQ_CFPS_LOW_GUIDANCE" hidden="1">"c4207"</definedName>
    <definedName name="IQ_CFPS_MEDIAN_EST" hidden="1">"c1668"</definedName>
    <definedName name="IQ_CFPS_MEDIAN_EST_REUT" hidden="1">"c3845"</definedName>
    <definedName name="IQ_CFPS_NUM_EST" hidden="1">"c1671"</definedName>
    <definedName name="IQ_CFPS_NUM_EST_REUT" hidden="1">"c3848"</definedName>
    <definedName name="IQ_CFPS_STDDEV_EST" hidden="1">"c1672"</definedName>
    <definedName name="IQ_CFPS_STDDEV_EST_REUT" hidden="1">"c3849"</definedName>
    <definedName name="IQ_CH">110000</definedName>
    <definedName name="IQ_CHANGE_AP" hidden="1">"c133"</definedName>
    <definedName name="IQ_CHANGE_AP_BNK" hidden="1">"c134"</definedName>
    <definedName name="IQ_CHANGE_AP_BR" hidden="1">"c135"</definedName>
    <definedName name="IQ_CHANGE_AP_FIN" hidden="1">"c136"</definedName>
    <definedName name="IQ_CHANGE_AP_INS" hidden="1">"c137"</definedName>
    <definedName name="IQ_CHANGE_AP_RE" hidden="1">"c6200"</definedName>
    <definedName name="IQ_CHANGE_AP_REIT" hidden="1">"c138"</definedName>
    <definedName name="IQ_CHANGE_AP_UTI" hidden="1">"c139"</definedName>
    <definedName name="IQ_CHANGE_AR" hidden="1">"c140"</definedName>
    <definedName name="IQ_CHANGE_AR_BNK" hidden="1">"c141"</definedName>
    <definedName name="IQ_CHANGE_AR_BR" hidden="1">"c142"</definedName>
    <definedName name="IQ_CHANGE_AR_FIN" hidden="1">"c143"</definedName>
    <definedName name="IQ_CHANGE_AR_INS" hidden="1">"c144"</definedName>
    <definedName name="IQ_CHANGE_AR_RE" hidden="1">"c6201"</definedName>
    <definedName name="IQ_CHANGE_AR_REIT" hidden="1">"c145"</definedName>
    <definedName name="IQ_CHANGE_AR_UTI" hidden="1">"c146"</definedName>
    <definedName name="IQ_CHANGE_DEF_TAX" hidden="1">"c147"</definedName>
    <definedName name="IQ_CHANGE_DEPOSIT_ACCT" hidden="1">"c148"</definedName>
    <definedName name="IQ_CHANGE_INC_TAX" hidden="1">"c149"</definedName>
    <definedName name="IQ_CHANGE_INS_RES_LIAB" hidden="1">"c150"</definedName>
    <definedName name="IQ_CHANGE_INVENTORY" hidden="1">"c151"</definedName>
    <definedName name="IQ_CHANGE_NET_OPER_ASSETS" hidden="1">"c3592"</definedName>
    <definedName name="IQ_CHANGE_NET_WORKING_CAPITAL" hidden="1">"c1909"</definedName>
    <definedName name="IQ_CHANGE_OTHER_NET_OPER_ASSETS" hidden="1">"c3593"</definedName>
    <definedName name="IQ_CHANGE_OTHER_NET_OPER_ASSETS_BNK" hidden="1">"c3594"</definedName>
    <definedName name="IQ_CHANGE_OTHER_NET_OPER_ASSETS_BR" hidden="1">"c3595"</definedName>
    <definedName name="IQ_CHANGE_OTHER_NET_OPER_ASSETS_FIN" hidden="1">"c3596"</definedName>
    <definedName name="IQ_CHANGE_OTHER_NET_OPER_ASSETS_INS" hidden="1">"c3597"</definedName>
    <definedName name="IQ_CHANGE_OTHER_NET_OPER_ASSETS_RE" hidden="1">"c6285"</definedName>
    <definedName name="IQ_CHANGE_OTHER_NET_OPER_ASSETS_REIT" hidden="1">"c3598"</definedName>
    <definedName name="IQ_CHANGE_OTHER_NET_OPER_ASSETS_UTI" hidden="1">"c3599"</definedName>
    <definedName name="IQ_CHANGE_OTHER_WORK_CAP" hidden="1">"c152"</definedName>
    <definedName name="IQ_CHANGE_OTHER_WORK_CAP_BNK" hidden="1">"c153"</definedName>
    <definedName name="IQ_CHANGE_OTHER_WORK_CAP_BR" hidden="1">"c154"</definedName>
    <definedName name="IQ_CHANGE_OTHER_WORK_CAP_FIN" hidden="1">"c155"</definedName>
    <definedName name="IQ_CHANGE_OTHER_WORK_CAP_INS" hidden="1">"c156"</definedName>
    <definedName name="IQ_CHANGE_OTHER_WORK_CAP_REIT" hidden="1">"c157"</definedName>
    <definedName name="IQ_CHANGE_OTHER_WORK_CAP_UTI" hidden="1">"c158"</definedName>
    <definedName name="IQ_CHANGE_TRADING_ASSETS" hidden="1">"c159"</definedName>
    <definedName name="IQ_CHANGE_UNEARN_REV" hidden="1">"c160"</definedName>
    <definedName name="IQ_CHANGE_WORK_CAP" hidden="1">"c161"</definedName>
    <definedName name="IQ_CHANGES_WORK_CAP" hidden="1">"c1357"</definedName>
    <definedName name="IQ_CHARGE_OFFS_GROSS" hidden="1">"c162"</definedName>
    <definedName name="IQ_CHARGE_OFFS_NET" hidden="1">"c163"</definedName>
    <definedName name="IQ_CHARGE_OFFS_RECOVERED" hidden="1">"c164"</definedName>
    <definedName name="IQ_CHARGE_OFFS_TOTAL_AVG_LOANS" hidden="1">"c165"</definedName>
    <definedName name="IQ_CITY" hidden="1">"c166"</definedName>
    <definedName name="IQ_CL_DUE_AFTER_FIVE" hidden="1">"c167"</definedName>
    <definedName name="IQ_CL_DUE_CY" hidden="1">"c168"</definedName>
    <definedName name="IQ_CL_DUE_CY1" hidden="1">"c169"</definedName>
    <definedName name="IQ_CL_DUE_CY2" hidden="1">"c170"</definedName>
    <definedName name="IQ_CL_DUE_CY3" hidden="1">"c171"</definedName>
    <definedName name="IQ_CL_DUE_CY4" hidden="1">"c172"</definedName>
    <definedName name="IQ_CL_DUE_NEXT_FIVE" hidden="1">"c173"</definedName>
    <definedName name="IQ_CL_OBLIGATION_IMMEDIATE" hidden="1">"c2253"</definedName>
    <definedName name="IQ_CLASSA_OPTIONS_BEG_OS" hidden="1">"c2679"</definedName>
    <definedName name="IQ_CLASSA_OPTIONS_CANCELLED" hidden="1">"c2682"</definedName>
    <definedName name="IQ_CLASSA_OPTIONS_END_OS" hidden="1">"c2683"</definedName>
    <definedName name="IQ_CLASSA_OPTIONS_EXERCISABLE_END_OS" hidden="1">"c5809"</definedName>
    <definedName name="IQ_CLASSA_OPTIONS_EXERCISED" hidden="1">"c2681"</definedName>
    <definedName name="IQ_CLASSA_OPTIONS_GRANTED" hidden="1">"c2680"</definedName>
    <definedName name="IQ_CLASSA_OPTIONS_STRIKE_PRICE_BEG_OS" hidden="1">"c5810"</definedName>
    <definedName name="IQ_CLASSA_OPTIONS_STRIKE_PRICE_CANCELLED" hidden="1">"c5812"</definedName>
    <definedName name="IQ_CLASSA_OPTIONS_STRIKE_PRICE_EXERCISABLE" hidden="1">"c5813"</definedName>
    <definedName name="IQ_CLASSA_OPTIONS_STRIKE_PRICE_EXERCISED" hidden="1">"c5811"</definedName>
    <definedName name="IQ_CLASSA_OPTIONS_STRIKE_PRICE_OS" hidden="1">"c2684"</definedName>
    <definedName name="IQ_CLASSA_OUTSTANDING_BS_DATE" hidden="1">"c1971"</definedName>
    <definedName name="IQ_CLASSA_OUTSTANDING_FILING_DATE" hidden="1">"c1973"</definedName>
    <definedName name="IQ_CLASSA_STRIKE_PRICE_GRANTED" hidden="1">"c2685"</definedName>
    <definedName name="IQ_CLASSA_WARRANTS_BEG_OS" hidden="1">"c2705"</definedName>
    <definedName name="IQ_CLASSA_WARRANTS_CANCELLED" hidden="1">"c2708"</definedName>
    <definedName name="IQ_CLASSA_WARRANTS_END_OS" hidden="1">"c2709"</definedName>
    <definedName name="IQ_CLASSA_WARRANTS_EXERCISED" hidden="1">"c2707"</definedName>
    <definedName name="IQ_CLASSA_WARRANTS_ISSUED" hidden="1">"c2706"</definedName>
    <definedName name="IQ_CLASSA_WARRANTS_STRIKE_PRICE_ISSUED" hidden="1">"c2711"</definedName>
    <definedName name="IQ_CLASSA_WARRANTS_STRIKE_PRICE_OS" hidden="1">"c2710"</definedName>
    <definedName name="IQ_CLOSEPRICE" hidden="1">"c174"</definedName>
    <definedName name="IQ_CLOSEPRICE_ADJ" hidden="1">"c2115"</definedName>
    <definedName name="IQ_COGS" hidden="1">"c175"</definedName>
    <definedName name="IQ_COMBINED_RATIO" hidden="1">"c176"</definedName>
    <definedName name="IQ_COMMERCIAL_DOM" hidden="1">"c177"</definedName>
    <definedName name="IQ_COMMERCIAL_FIRE_WRITTEN" hidden="1">"c178"</definedName>
    <definedName name="IQ_COMMERCIAL_MORT" hidden="1">"c179"</definedName>
    <definedName name="IQ_COMMISS_FEES" hidden="1">"c180"</definedName>
    <definedName name="IQ_COMMISSION_DEF" hidden="1">"c181"</definedName>
    <definedName name="IQ_COMMON" hidden="1">"c182"</definedName>
    <definedName name="IQ_COMMON_APIC" hidden="1">"c183"</definedName>
    <definedName name="IQ_COMMON_APIC_BNK" hidden="1">"c184"</definedName>
    <definedName name="IQ_COMMON_APIC_BR" hidden="1">"c185"</definedName>
    <definedName name="IQ_COMMON_APIC_FIN" hidden="1">"c186"</definedName>
    <definedName name="IQ_COMMON_APIC_INS" hidden="1">"c187"</definedName>
    <definedName name="IQ_COMMON_APIC_RE" hidden="1">"c6202"</definedName>
    <definedName name="IQ_COMMON_APIC_REIT" hidden="1">"c188"</definedName>
    <definedName name="IQ_COMMON_APIC_UTI" hidden="1">"c189"</definedName>
    <definedName name="IQ_COMMON_DIV" hidden="1">"c3006"</definedName>
    <definedName name="IQ_COMMON_DIV_CF" hidden="1">"c190"</definedName>
    <definedName name="IQ_COMMON_EQUITY_10YR_ANN_CAGR" hidden="1">"c6060"</definedName>
    <definedName name="IQ_COMMON_EQUITY_10YR_ANN_GROWTH" hidden="1">"c191"</definedName>
    <definedName name="IQ_COMMON_EQUITY_1YR_ANN_GROWTH" hidden="1">"c192"</definedName>
    <definedName name="IQ_COMMON_EQUITY_2YR_ANN_CAGR" hidden="1">"c6061"</definedName>
    <definedName name="IQ_COMMON_EQUITY_2YR_ANN_GROWTH" hidden="1">"c193"</definedName>
    <definedName name="IQ_COMMON_EQUITY_3YR_ANN_CAGR" hidden="1">"c6062"</definedName>
    <definedName name="IQ_COMMON_EQUITY_3YR_ANN_GROWTH" hidden="1">"c194"</definedName>
    <definedName name="IQ_COMMON_EQUITY_5YR_ANN_CAGR" hidden="1">"c6063"</definedName>
    <definedName name="IQ_COMMON_EQUITY_5YR_ANN_GROWTH" hidden="1">"c195"</definedName>
    <definedName name="IQ_COMMON_EQUITY_7YR_ANN_CAGR" hidden="1">"c6064"</definedName>
    <definedName name="IQ_COMMON_EQUITY_7YR_ANN_GROWTH" hidden="1">"c196"</definedName>
    <definedName name="IQ_COMMON_ISSUED" hidden="1">"c197"</definedName>
    <definedName name="IQ_COMMON_ISSUED_BNK" hidden="1">"c198"</definedName>
    <definedName name="IQ_COMMON_ISSUED_BR" hidden="1">"c199"</definedName>
    <definedName name="IQ_COMMON_ISSUED_FIN" hidden="1">"c200"</definedName>
    <definedName name="IQ_COMMON_ISSUED_INS" hidden="1">"c201"</definedName>
    <definedName name="IQ_COMMON_ISSUED_RE" hidden="1">"c6203"</definedName>
    <definedName name="IQ_COMMON_ISSUED_REIT" hidden="1">"c202"</definedName>
    <definedName name="IQ_COMMON_ISSUED_UTI" hidden="1">"c203"</definedName>
    <definedName name="IQ_COMMON_PER_ADR" hidden="1">"c204"</definedName>
    <definedName name="IQ_COMMON_PREF_DIV_CF" hidden="1">"c205"</definedName>
    <definedName name="IQ_COMMON_REP" hidden="1">"c206"</definedName>
    <definedName name="IQ_COMMON_REP_BNK" hidden="1">"c207"</definedName>
    <definedName name="IQ_COMMON_REP_BR" hidden="1">"c208"</definedName>
    <definedName name="IQ_COMMON_REP_FIN" hidden="1">"c209"</definedName>
    <definedName name="IQ_COMMON_REP_INS" hidden="1">"c210"</definedName>
    <definedName name="IQ_COMMON_REP_RE" hidden="1">"c6204"</definedName>
    <definedName name="IQ_COMMON_REP_REIT" hidden="1">"c211"</definedName>
    <definedName name="IQ_COMMON_REP_UTI" hidden="1">"c212"</definedName>
    <definedName name="IQ_COMMON_STOCK" hidden="1">"c1358"</definedName>
    <definedName name="IQ_COMP_BENEFITS" hidden="1">"c213"</definedName>
    <definedName name="IQ_COMPANY_ADDRESS" hidden="1">"c214"</definedName>
    <definedName name="IQ_COMPANY_ID" hidden="1">"c3513"</definedName>
    <definedName name="IQ_COMPANY_NAME" hidden="1">"c215"</definedName>
    <definedName name="IQ_COMPANY_NAME_LONG" hidden="1">"c1585"</definedName>
    <definedName name="IQ_COMPANY_PHONE" hidden="1">"c216"</definedName>
    <definedName name="IQ_COMPANY_STATUS" hidden="1">"c2097"</definedName>
    <definedName name="IQ_COMPANY_STREET1" hidden="1">"c217"</definedName>
    <definedName name="IQ_COMPANY_STREET2" hidden="1">"c218"</definedName>
    <definedName name="IQ_COMPANY_TICKER" hidden="1">"c219"</definedName>
    <definedName name="IQ_COMPANY_TYPE" hidden="1">"c2096"</definedName>
    <definedName name="IQ_COMPANY_WEBSITE" hidden="1">"c220"</definedName>
    <definedName name="IQ_COMPANY_ZIP" hidden="1">"c221"</definedName>
    <definedName name="IQ_CONSTRUCTION_LOANS" hidden="1">"c222"</definedName>
    <definedName name="IQ_CONSUMER_LOANS" hidden="1">"c223"</definedName>
    <definedName name="IQ_CONV_DATE" hidden="1">"c2191"</definedName>
    <definedName name="IQ_CONV_EXP_DATE" hidden="1">"c3043"</definedName>
    <definedName name="IQ_CONV_PREMIUM" hidden="1">"c2195"</definedName>
    <definedName name="IQ_CONV_PRICE" hidden="1">"c2193"</definedName>
    <definedName name="IQ_CONV_RATIO" hidden="1">"c2192"</definedName>
    <definedName name="IQ_CONV_SECURITY" hidden="1">"c2189"</definedName>
    <definedName name="IQ_CONV_SECURITY_ISSUER" hidden="1">"c2190"</definedName>
    <definedName name="IQ_CONV_SECURITY_PRICE" hidden="1">"c2194"</definedName>
    <definedName name="IQ_CONVERT" hidden="1">"c2536"</definedName>
    <definedName name="IQ_CONVERT_PCT" hidden="1">"c2537"</definedName>
    <definedName name="IQ_CONVEXITY" hidden="1">"c2182"</definedName>
    <definedName name="IQ_COST_BORROWING" hidden="1">"c2936"</definedName>
    <definedName name="IQ_COST_BORROWINGS" hidden="1">"c225"</definedName>
    <definedName name="IQ_COST_REV" hidden="1">"c226"</definedName>
    <definedName name="IQ_COST_REVENUE" hidden="1">"c1359"</definedName>
    <definedName name="IQ_COST_SAVINGS" hidden="1">"c227"</definedName>
    <definedName name="IQ_COST_SERVICE" hidden="1">"c228"</definedName>
    <definedName name="IQ_COST_TOTAL_BORROWINGS" hidden="1">"c229"</definedName>
    <definedName name="IQ_COUNTRY_NAME" hidden="1">"c230"</definedName>
    <definedName name="IQ_COVERED_POPS" hidden="1">"c2124"</definedName>
    <definedName name="IQ_CP" hidden="1">"c2495"</definedName>
    <definedName name="IQ_CP_PCT" hidden="1">"c2496"</definedName>
    <definedName name="IQ_CQ" hidden="1">5000</definedName>
    <definedName name="IQ_CREDIT_CARD_FEE_BNK" hidden="1">"c231"</definedName>
    <definedName name="IQ_CREDIT_CARD_FEE_FIN" hidden="1">"c1583"</definedName>
    <definedName name="IQ_CREDIT_LOSS_CF" hidden="1">"c232"</definedName>
    <definedName name="IQ_CUMULATIVE_SPLIT_FACTOR" hidden="1">"c2094"</definedName>
    <definedName name="IQ_CURR_DOMESTIC_TAXES" hidden="1">"c2074"</definedName>
    <definedName name="IQ_CURR_FOREIGN_TAXES" hidden="1">"c2075"</definedName>
    <definedName name="IQ_CURRENCY_FACTOR_BS" hidden="1">"c233"</definedName>
    <definedName name="IQ_CURRENCY_FACTOR_IS" hidden="1">"c234"</definedName>
    <definedName name="IQ_CURRENCY_GAIN" hidden="1">"c235"</definedName>
    <definedName name="IQ_CURRENCY_GAIN_BR" hidden="1">"c236"</definedName>
    <definedName name="IQ_CURRENCY_GAIN_FIN" hidden="1">"c237"</definedName>
    <definedName name="IQ_CURRENCY_GAIN_INS" hidden="1">"c238"</definedName>
    <definedName name="IQ_CURRENCY_GAIN_RE" hidden="1">"c6205"</definedName>
    <definedName name="IQ_CURRENCY_GAIN_REIT" hidden="1">"c239"</definedName>
    <definedName name="IQ_CURRENCY_GAIN_UTI" hidden="1">"c240"</definedName>
    <definedName name="IQ_CURRENT_PORT" hidden="1">"c241"</definedName>
    <definedName name="IQ_CURRENT_PORT_BNK" hidden="1">"c242"</definedName>
    <definedName name="IQ_CURRENT_PORT_DEBT" hidden="1">"c243"</definedName>
    <definedName name="IQ_CURRENT_PORT_DEBT_BNK" hidden="1">"c244"</definedName>
    <definedName name="IQ_CURRENT_PORT_DEBT_BR" hidden="1">"c1567"</definedName>
    <definedName name="IQ_CURRENT_PORT_DEBT_FIN" hidden="1">"c1568"</definedName>
    <definedName name="IQ_CURRENT_PORT_DEBT_INS" hidden="1">"c1569"</definedName>
    <definedName name="IQ_CURRENT_PORT_DEBT_RE" hidden="1">"c6283"</definedName>
    <definedName name="IQ_CURRENT_PORT_DEBT_REIT" hidden="1">"c1570"</definedName>
    <definedName name="IQ_CURRENT_PORT_DEBT_UTI" hidden="1">"c1571"</definedName>
    <definedName name="IQ_CURRENT_PORT_FHLB_DEBT" hidden="1">"c5657"</definedName>
    <definedName name="IQ_CURRENT_PORT_LEASES" hidden="1">"c245"</definedName>
    <definedName name="IQ_CURRENT_PORT_PCT" hidden="1">"c2541"</definedName>
    <definedName name="IQ_CURRENT_RATIO" hidden="1">"c246"</definedName>
    <definedName name="IQ_CY" hidden="1">10000</definedName>
    <definedName name="IQ_DA" hidden="1">"c247"</definedName>
    <definedName name="IQ_DA_BR" hidden="1">"c248"</definedName>
    <definedName name="IQ_DA_CF" hidden="1">"c249"</definedName>
    <definedName name="IQ_DA_CF_BNK" hidden="1">"c250"</definedName>
    <definedName name="IQ_DA_CF_BR" hidden="1">"c251"</definedName>
    <definedName name="IQ_DA_CF_FIN" hidden="1">"c252"</definedName>
    <definedName name="IQ_DA_CF_INS" hidden="1">"c253"</definedName>
    <definedName name="IQ_DA_CF_RE" hidden="1">"c6206"</definedName>
    <definedName name="IQ_DA_CF_REIT" hidden="1">"c254"</definedName>
    <definedName name="IQ_DA_CF_UTI" hidden="1">"c255"</definedName>
    <definedName name="IQ_DA_EBITDA" hidden="1">"c5528"</definedName>
    <definedName name="IQ_DA_FIN" hidden="1">"c256"</definedName>
    <definedName name="IQ_DA_INS" hidden="1">"c257"</definedName>
    <definedName name="IQ_DA_RE" hidden="1">"c6207"</definedName>
    <definedName name="IQ_DA_REIT" hidden="1">"c258"</definedName>
    <definedName name="IQ_DA_SUPPL" hidden="1">"c259"</definedName>
    <definedName name="IQ_DA_SUPPL_BR" hidden="1">"c260"</definedName>
    <definedName name="IQ_DA_SUPPL_CF" hidden="1">"c261"</definedName>
    <definedName name="IQ_DA_SUPPL_CF_BNK" hidden="1">"c262"</definedName>
    <definedName name="IQ_DA_SUPPL_CF_BR" hidden="1">"c263"</definedName>
    <definedName name="IQ_DA_SUPPL_CF_FIN" hidden="1">"c264"</definedName>
    <definedName name="IQ_DA_SUPPL_CF_INS" hidden="1">"c265"</definedName>
    <definedName name="IQ_DA_SUPPL_CF_RE" hidden="1">"c6208"</definedName>
    <definedName name="IQ_DA_SUPPL_CF_REIT" hidden="1">"c266"</definedName>
    <definedName name="IQ_DA_SUPPL_CF_UTI" hidden="1">"c267"</definedName>
    <definedName name="IQ_DA_SUPPL_FIN" hidden="1">"c268"</definedName>
    <definedName name="IQ_DA_SUPPL_INS" hidden="1">"c269"</definedName>
    <definedName name="IQ_DA_SUPPL_RE" hidden="1">"c6209"</definedName>
    <definedName name="IQ_DA_SUPPL_REIT" hidden="1">"c270"</definedName>
    <definedName name="IQ_DA_SUPPL_UTI" hidden="1">"c271"</definedName>
    <definedName name="IQ_DA_UTI" hidden="1">"c272"</definedName>
    <definedName name="IQ_DAILY">500000</definedName>
    <definedName name="IQ_DATED_DATE" hidden="1">"c2185"</definedName>
    <definedName name="IQ_DAY_COUNT" hidden="1">"c2161"</definedName>
    <definedName name="IQ_DAYS_COVER_SHORT" hidden="1">"c1578"</definedName>
    <definedName name="IQ_DAYS_INVENTORY_OUT" hidden="1">"c273"</definedName>
    <definedName name="IQ_DAYS_PAY_OUTST" hidden="1">"c1362"</definedName>
    <definedName name="IQ_DAYS_PAYABLE_OUT" hidden="1">"c274"</definedName>
    <definedName name="IQ_DAYS_SALES_OUT" hidden="1">"c275"</definedName>
    <definedName name="IQ_DAYS_SALES_OUTST" hidden="1">"c1363"</definedName>
    <definedName name="IQ_DEBT_ADJ" hidden="1">"c2515"</definedName>
    <definedName name="IQ_DEBT_ADJ_PCT" hidden="1">"c2516"</definedName>
    <definedName name="IQ_DEBT_EQUITY_EST" hidden="1">"c4257"</definedName>
    <definedName name="IQ_DEBT_EQUITY_HIGH_EST" hidden="1">"c4258"</definedName>
    <definedName name="IQ_DEBT_EQUITY_LOW_EST" hidden="1">"c4259"</definedName>
    <definedName name="IQ_DEBT_EQUITY_MEDIAN_EST" hidden="1">"c4260"</definedName>
    <definedName name="IQ_DEBT_EQUITY_NUM_EST" hidden="1">"c4261"</definedName>
    <definedName name="IQ_DEBT_EQUITY_STDDEV_EST" hidden="1">"c4262"</definedName>
    <definedName name="IQ_DEBT_EQUIV_NET_PBO" hidden="1">"c2938"</definedName>
    <definedName name="IQ_DEBT_EQUIV_OPER_LEASE" hidden="1">"c2935"</definedName>
    <definedName name="IQ_DEF_ACQ_CST" hidden="1">"c1364"</definedName>
    <definedName name="IQ_DEF_AMORT" hidden="1">"c276"</definedName>
    <definedName name="IQ_DEF_AMORT_BNK" hidden="1">"c277"</definedName>
    <definedName name="IQ_DEF_AMORT_BR" hidden="1">"c278"</definedName>
    <definedName name="IQ_DEF_AMORT_FIN" hidden="1">"c279"</definedName>
    <definedName name="IQ_DEF_AMORT_INS" hidden="1">"c280"</definedName>
    <definedName name="IQ_DEF_AMORT_REIT" hidden="1">"c281"</definedName>
    <definedName name="IQ_DEF_AMORT_UTI" hidden="1">"c282"</definedName>
    <definedName name="IQ_DEF_BENEFIT_INTEREST_COST" hidden="1">"c283"</definedName>
    <definedName name="IQ_DEF_BENEFIT_INTEREST_COST_DOMESTIC" hidden="1">"c2652"</definedName>
    <definedName name="IQ_DEF_BENEFIT_INTEREST_COST_FOREIGN" hidden="1">"c2660"</definedName>
    <definedName name="IQ_DEF_BENEFIT_OTHER_COST" hidden="1">"c284"</definedName>
    <definedName name="IQ_DEF_BENEFIT_OTHER_COST_DOMESTIC" hidden="1">"c2654"</definedName>
    <definedName name="IQ_DEF_BENEFIT_OTHER_COST_FOREIGN" hidden="1">"c2662"</definedName>
    <definedName name="IQ_DEF_BENEFIT_ROA" hidden="1">"c285"</definedName>
    <definedName name="IQ_DEF_BENEFIT_ROA_DOMESTIC" hidden="1">"c2653"</definedName>
    <definedName name="IQ_DEF_BENEFIT_ROA_FOREIGN" hidden="1">"c2661"</definedName>
    <definedName name="IQ_DEF_BENEFIT_SERVICE_COST" hidden="1">"c286"</definedName>
    <definedName name="IQ_DEF_BENEFIT_SERVICE_COST_DOMESTIC" hidden="1">"c2651"</definedName>
    <definedName name="IQ_DEF_BENEFIT_SERVICE_COST_FOREIGN" hidden="1">"c2659"</definedName>
    <definedName name="IQ_DEF_BENEFIT_TOTAL_COST" hidden="1">"c287"</definedName>
    <definedName name="IQ_DEF_BENEFIT_TOTAL_COST_DOMESTIC" hidden="1">"c2655"</definedName>
    <definedName name="IQ_DEF_BENEFIT_TOTAL_COST_FOREIGN" hidden="1">"c2663"</definedName>
    <definedName name="IQ_DEF_CHARGES_BR" hidden="1">"c288"</definedName>
    <definedName name="IQ_DEF_CHARGES_CF" hidden="1">"c289"</definedName>
    <definedName name="IQ_DEF_CHARGES_FIN" hidden="1">"c290"</definedName>
    <definedName name="IQ_DEF_CHARGES_INS" hidden="1">"c291"</definedName>
    <definedName name="IQ_DEF_CHARGES_LT" hidden="1">"c292"</definedName>
    <definedName name="IQ_DEF_CHARGES_LT_BNK" hidden="1">"c293"</definedName>
    <definedName name="IQ_DEF_CHARGES_LT_BR" hidden="1">"c294"</definedName>
    <definedName name="IQ_DEF_CHARGES_LT_FIN" hidden="1">"c295"</definedName>
    <definedName name="IQ_DEF_CHARGES_LT_INS" hidden="1">"c296"</definedName>
    <definedName name="IQ_DEF_CHARGES_LT_RE" hidden="1">"c6210"</definedName>
    <definedName name="IQ_DEF_CHARGES_LT_REIT" hidden="1">"c297"</definedName>
    <definedName name="IQ_DEF_CHARGES_LT_UTI" hidden="1">"c298"</definedName>
    <definedName name="IQ_DEF_CHARGES_RE" hidden="1">"c6211"</definedName>
    <definedName name="IQ_DEF_CHARGES_REIT" hidden="1">"c299"</definedName>
    <definedName name="IQ_DEF_CONTRIBUTION_TOTAL_COST" hidden="1">"c300"</definedName>
    <definedName name="IQ_DEF_INC_TAX" hidden="1">"c1365"</definedName>
    <definedName name="IQ_DEF_POLICY_ACQ_COSTS" hidden="1">"c301"</definedName>
    <definedName name="IQ_DEF_POLICY_ACQ_COSTS_CF" hidden="1">"c302"</definedName>
    <definedName name="IQ_DEF_POLICY_AMORT" hidden="1">"c303"</definedName>
    <definedName name="IQ_DEF_TAX_ASSET_LT_BR" hidden="1">"c304"</definedName>
    <definedName name="IQ_DEF_TAX_ASSET_LT_FIN" hidden="1">"c305"</definedName>
    <definedName name="IQ_DEF_TAX_ASSET_LT_INS" hidden="1">"c306"</definedName>
    <definedName name="IQ_DEF_TAX_ASSET_LT_RE" hidden="1">"c6212"</definedName>
    <definedName name="IQ_DEF_TAX_ASSET_LT_REIT" hidden="1">"c307"</definedName>
    <definedName name="IQ_DEF_TAX_ASSET_LT_UTI" hidden="1">"c308"</definedName>
    <definedName name="IQ_DEF_TAX_ASSETS_CURRENT" hidden="1">"c309"</definedName>
    <definedName name="IQ_DEF_TAX_ASSETS_LT" hidden="1">"c310"</definedName>
    <definedName name="IQ_DEF_TAX_ASSETS_LT_BNK" hidden="1">"c311"</definedName>
    <definedName name="IQ_DEF_TAX_LIAB_CURRENT" hidden="1">"c312"</definedName>
    <definedName name="IQ_DEF_TAX_LIAB_LT" hidden="1">"c313"</definedName>
    <definedName name="IQ_DEF_TAX_LIAB_LT_BNK" hidden="1">"c314"</definedName>
    <definedName name="IQ_DEF_TAX_LIAB_LT_BR" hidden="1">"c315"</definedName>
    <definedName name="IQ_DEF_TAX_LIAB_LT_FIN" hidden="1">"c316"</definedName>
    <definedName name="IQ_DEF_TAX_LIAB_LT_INS" hidden="1">"c317"</definedName>
    <definedName name="IQ_DEF_TAX_LIAB_LT_RE" hidden="1">"c6213"</definedName>
    <definedName name="IQ_DEF_TAX_LIAB_LT_REIT" hidden="1">"c318"</definedName>
    <definedName name="IQ_DEF_TAX_LIAB_LT_UTI" hidden="1">"c319"</definedName>
    <definedName name="IQ_DEFERRED_DOMESTIC_TAXES" hidden="1">"c2077"</definedName>
    <definedName name="IQ_DEFERRED_FOREIGN_TAXES" hidden="1">"c2078"</definedName>
    <definedName name="IQ_DEFERRED_INC_TAX" hidden="1">"c1447"</definedName>
    <definedName name="IQ_DEFERRED_TAXES" hidden="1">"c1356"</definedName>
    <definedName name="IQ_DEMAND_DEP" hidden="1">"c320"</definedName>
    <definedName name="IQ_DEPOSITS_FIN" hidden="1">"c321"</definedName>
    <definedName name="IQ_DEPOSITS_INTEREST_SECURITIES" hidden="1">"c5509"</definedName>
    <definedName name="IQ_DEPRE_AMORT" hidden="1">"c1360"</definedName>
    <definedName name="IQ_DEPRE_AMORT_SUPPL" hidden="1">"c1593"</definedName>
    <definedName name="IQ_DEPRE_DEPLE" hidden="1">"c1361"</definedName>
    <definedName name="IQ_DEPRE_SUPP" hidden="1">"c1443"</definedName>
    <definedName name="IQ_DESCRIPTION_LONG" hidden="1">"c1520"</definedName>
    <definedName name="IQ_DEVELOP_LAND" hidden="1">"c323"</definedName>
    <definedName name="IQ_DIFF_LASTCLOSE_TARGET_PRICE" hidden="1">"c1854"</definedName>
    <definedName name="IQ_DIFF_LASTCLOSE_TARGET_PRICE_REUT" hidden="1">"c5436"</definedName>
    <definedName name="IQ_DILUT_ADJUST" hidden="1">"c1621"</definedName>
    <definedName name="IQ_DILUT_EPS_EXCL" hidden="1">"c324"</definedName>
    <definedName name="IQ_DILUT_EPS_INCL" hidden="1">"c325"</definedName>
    <definedName name="IQ_DILUT_EPS_NORM" hidden="1">"c1903"</definedName>
    <definedName name="IQ_DILUT_NI" hidden="1">"c2079"</definedName>
    <definedName name="IQ_DILUT_NORMAL_EPS" hidden="1">"c1594"</definedName>
    <definedName name="IQ_DILUT_OUTSTANDING_CURRENT_EST" hidden="1">"c4263"</definedName>
    <definedName name="IQ_DILUT_OUTSTANDING_CURRENT_HIGH_EST" hidden="1">"c4264"</definedName>
    <definedName name="IQ_DILUT_OUTSTANDING_CURRENT_LOW_EST" hidden="1">"c4265"</definedName>
    <definedName name="IQ_DILUT_OUTSTANDING_CURRENT_MEDIAN_EST" hidden="1">"c4266"</definedName>
    <definedName name="IQ_DILUT_OUTSTANDING_CURRENT_NUM_EST" hidden="1">"c4267"</definedName>
    <definedName name="IQ_DILUT_OUTSTANDING_CURRENT_STDDEV_EST" hidden="1">"c4268"</definedName>
    <definedName name="IQ_DILUT_WEIGHT" hidden="1">"c326"</definedName>
    <definedName name="IQ_DILUT_WEIGHT_EST" hidden="1">"c4269"</definedName>
    <definedName name="IQ_DILUT_WEIGHT_GUIDANCE" hidden="1">"c4270"</definedName>
    <definedName name="IQ_DILUT_WEIGHT_HIGH_EST" hidden="1">"c4271"</definedName>
    <definedName name="IQ_DILUT_WEIGHT_LOW_EST" hidden="1">"c4272"</definedName>
    <definedName name="IQ_DILUT_WEIGHT_MEDIAN_EST" hidden="1">"c4273"</definedName>
    <definedName name="IQ_DILUT_WEIGHT_NUM_EST" hidden="1">"c4274"</definedName>
    <definedName name="IQ_DILUT_WEIGHT_STDDEV_EST" hidden="1">"c4275"</definedName>
    <definedName name="IQ_DIRECT_AH_EARNED" hidden="1">"c2740"</definedName>
    <definedName name="IQ_DIRECT_EARNED" hidden="1">"c2730"</definedName>
    <definedName name="IQ_DIRECT_LIFE_EARNED" hidden="1">"c2735"</definedName>
    <definedName name="IQ_DIRECT_LIFE_IN_FORCE" hidden="1">"c2765"</definedName>
    <definedName name="IQ_DIRECT_PC_EARNED" hidden="1">"c2745"</definedName>
    <definedName name="IQ_DIRECT_WRITTEN" hidden="1">"c2724"</definedName>
    <definedName name="IQ_DISCONT_OPER" hidden="1">"c1367"</definedName>
    <definedName name="IQ_DISCOUNT_RATE_PENSION_DOMESTIC" hidden="1">"c327"</definedName>
    <definedName name="IQ_DISCOUNT_RATE_PENSION_FOREIGN" hidden="1">"c328"</definedName>
    <definedName name="IQ_DISTR_EXCESS_EARN" hidden="1">"c329"</definedName>
    <definedName name="IQ_DISTRIBUTABLE_CASH" hidden="1">"c3002"</definedName>
    <definedName name="IQ_DISTRIBUTABLE_CASH_ACT_OR_EST" hidden="1">"c4278"</definedName>
    <definedName name="IQ_DISTRIBUTABLE_CASH_EST" hidden="1">"c4277"</definedName>
    <definedName name="IQ_DISTRIBUTABLE_CASH_GUIDANCE" hidden="1">"c4279"</definedName>
    <definedName name="IQ_DISTRIBUTABLE_CASH_HIGH_EST" hidden="1">"c4280"</definedName>
    <definedName name="IQ_DISTRIBUTABLE_CASH_HIGH_GUIDANCE" hidden="1">"c4198"</definedName>
    <definedName name="IQ_DISTRIBUTABLE_CASH_LOW_EST" hidden="1">"c4281"</definedName>
    <definedName name="IQ_DISTRIBUTABLE_CASH_LOW_GUIDANCE" hidden="1">"c4238"</definedName>
    <definedName name="IQ_DISTRIBUTABLE_CASH_MEDIAN_EST" hidden="1">"c4282"</definedName>
    <definedName name="IQ_DISTRIBUTABLE_CASH_NUM_EST" hidden="1">"c4283"</definedName>
    <definedName name="IQ_DISTRIBUTABLE_CASH_PAYOUT" hidden="1">"c3005"</definedName>
    <definedName name="IQ_DISTRIBUTABLE_CASH_SHARE" hidden="1">"c3003"</definedName>
    <definedName name="IQ_DISTRIBUTABLE_CASH_SHARE_ACT_OR_EST" hidden="1">"c4286"</definedName>
    <definedName name="IQ_DISTRIBUTABLE_CASH_SHARE_EST" hidden="1">"c4285"</definedName>
    <definedName name="IQ_DISTRIBUTABLE_CASH_SHARE_GUIDANCE" hidden="1">"c4287"</definedName>
    <definedName name="IQ_DISTRIBUTABLE_CASH_SHARE_HIGH_EST" hidden="1">"c4288"</definedName>
    <definedName name="IQ_DISTRIBUTABLE_CASH_SHARE_HIGH_GUIDANCE" hidden="1">"c4199"</definedName>
    <definedName name="IQ_DISTRIBUTABLE_CASH_SHARE_LOW_EST" hidden="1">"c4289"</definedName>
    <definedName name="IQ_DISTRIBUTABLE_CASH_SHARE_LOW_GUIDANCE" hidden="1">"c4239"</definedName>
    <definedName name="IQ_DISTRIBUTABLE_CASH_SHARE_MEDIAN_EST" hidden="1">"c4290"</definedName>
    <definedName name="IQ_DISTRIBUTABLE_CASH_SHARE_NUM_EST" hidden="1">"c4291"</definedName>
    <definedName name="IQ_DISTRIBUTABLE_CASH_SHARE_STDDEV_EST" hidden="1">"c4292"</definedName>
    <definedName name="IQ_DISTRIBUTABLE_CASH_STDDEV_EST" hidden="1">"c4294"</definedName>
    <definedName name="IQ_DIV_AMOUNT" hidden="1">"c3041"</definedName>
    <definedName name="IQ_DIV_PAYMENT_DATE" hidden="1">"c2205"</definedName>
    <definedName name="IQ_DIV_RECORD_DATE" hidden="1">"c2204"</definedName>
    <definedName name="IQ_DIV_SHARE" hidden="1">"c330"</definedName>
    <definedName name="IQ_DIVEST_CF" hidden="1">"c331"</definedName>
    <definedName name="IQ_DIVID_SHARE" hidden="1">"c1366"</definedName>
    <definedName name="IQ_DIVIDEND_EST" hidden="1">"c4296"</definedName>
    <definedName name="IQ_DIVIDEND_HIGH_EST" hidden="1">"c4297"</definedName>
    <definedName name="IQ_DIVIDEND_LOW_EST" hidden="1">"c4298"</definedName>
    <definedName name="IQ_DIVIDEND_MEDIAN_EST" hidden="1">"c4299"</definedName>
    <definedName name="IQ_DIVIDEND_NUM_EST" hidden="1">"c4300"</definedName>
    <definedName name="IQ_DIVIDEND_STDDEV_EST" hidden="1">"c4301"</definedName>
    <definedName name="IQ_DIVIDEND_YIELD" hidden="1">"c332"</definedName>
    <definedName name="IQ_DNTM" hidden="1">700000</definedName>
    <definedName name="IQ_DO" hidden="1">"c333"</definedName>
    <definedName name="IQ_DO_ASSETS_CURRENT" hidden="1">"c334"</definedName>
    <definedName name="IQ_DO_ASSETS_LT" hidden="1">"c335"</definedName>
    <definedName name="IQ_DO_CF" hidden="1">"c336"</definedName>
    <definedName name="IQ_DOC_CLAUSE" hidden="1">"c6032"</definedName>
    <definedName name="IQ_DPAC_ACC" hidden="1">"c2799"</definedName>
    <definedName name="IQ_DPAC_AMORT" hidden="1">"c2795"</definedName>
    <definedName name="IQ_DPAC_BEG" hidden="1">"c2791"</definedName>
    <definedName name="IQ_DPAC_COMMISSIONS" hidden="1">"c2792"</definedName>
    <definedName name="IQ_DPAC_END" hidden="1">"c2801"</definedName>
    <definedName name="IQ_DPAC_FX" hidden="1">"c2798"</definedName>
    <definedName name="IQ_DPAC_OTHER_ADJ" hidden="1">"c2800"</definedName>
    <definedName name="IQ_DPAC_OTHERS" hidden="1">"c2793"</definedName>
    <definedName name="IQ_DPAC_PERIOD" hidden="1">"c2794"</definedName>
    <definedName name="IQ_DPAC_REAL_GAIN" hidden="1">"c2797"</definedName>
    <definedName name="IQ_DPAC_UNREAL_GAIN" hidden="1">"c2796"</definedName>
    <definedName name="IQ_DPS_10YR_ANN_CAGR" hidden="1">"c6065"</definedName>
    <definedName name="IQ_DPS_10YR_ANN_GROWTH" hidden="1">"c337"</definedName>
    <definedName name="IQ_DPS_1YR_ANN_GROWTH" hidden="1">"c338"</definedName>
    <definedName name="IQ_DPS_2YR_ANN_CAGR" hidden="1">"c6066"</definedName>
    <definedName name="IQ_DPS_2YR_ANN_GROWTH" hidden="1">"c339"</definedName>
    <definedName name="IQ_DPS_3YR_ANN_CAGR" hidden="1">"c6067"</definedName>
    <definedName name="IQ_DPS_3YR_ANN_GROWTH" hidden="1">"c340"</definedName>
    <definedName name="IQ_DPS_5YR_ANN_CAGR" hidden="1">"c6068"</definedName>
    <definedName name="IQ_DPS_5YR_ANN_GROWTH" hidden="1">"c341"</definedName>
    <definedName name="IQ_DPS_7YR_ANN_CAGR" hidden="1">"c6069"</definedName>
    <definedName name="IQ_DPS_7YR_ANN_GROWTH" hidden="1">"c342"</definedName>
    <definedName name="IQ_DPS_ACT_OR_EST" hidden="1">"c2218"</definedName>
    <definedName name="IQ_DPS_ACT_OR_EST_REUT" hidden="1">"c5464"</definedName>
    <definedName name="IQ_DPS_EST" hidden="1">"c1674"</definedName>
    <definedName name="IQ_DPS_EST_BOTTOM_UP" hidden="1">"c5493"</definedName>
    <definedName name="IQ_DPS_EST_BOTTOM_UP_REUT" hidden="1">"c5501"</definedName>
    <definedName name="IQ_DPS_EST_REUT" hidden="1">"c3851"</definedName>
    <definedName name="IQ_DPS_GUIDANCE" hidden="1">"c4302"</definedName>
    <definedName name="IQ_DPS_HIGH_EST" hidden="1">"c1676"</definedName>
    <definedName name="IQ_DPS_HIGH_EST_REUT" hidden="1">"c3853"</definedName>
    <definedName name="IQ_DPS_HIGH_GUIDANCE" hidden="1">"c4168"</definedName>
    <definedName name="IQ_DPS_LOW_EST" hidden="1">"c1677"</definedName>
    <definedName name="IQ_DPS_LOW_EST_REUT" hidden="1">"c3854"</definedName>
    <definedName name="IQ_DPS_LOW_GUIDANCE" hidden="1">"c4208"</definedName>
    <definedName name="IQ_DPS_MEDIAN_EST" hidden="1">"c1675"</definedName>
    <definedName name="IQ_DPS_MEDIAN_EST_REUT" hidden="1">"c3852"</definedName>
    <definedName name="IQ_DPS_NUM_EST" hidden="1">"c1678"</definedName>
    <definedName name="IQ_DPS_NUM_EST_REUT" hidden="1">"c3855"</definedName>
    <definedName name="IQ_DPS_STDDEV_EST" hidden="1">"c1679"</definedName>
    <definedName name="IQ_DPS_STDDEV_EST_REUT" hidden="1">"c3856"</definedName>
    <definedName name="IQ_DURATION" hidden="1">"c2181"</definedName>
    <definedName name="IQ_EARNING_ASSET_YIELD" hidden="1">"c343"</definedName>
    <definedName name="IQ_EARNING_CO" hidden="1">"c344"</definedName>
    <definedName name="IQ_EARNING_CO_10YR_ANN_CAGR" hidden="1">"c6070"</definedName>
    <definedName name="IQ_EARNING_CO_10YR_ANN_GROWTH" hidden="1">"c345"</definedName>
    <definedName name="IQ_EARNING_CO_1YR_ANN_GROWTH" hidden="1">"c346"</definedName>
    <definedName name="IQ_EARNING_CO_2YR_ANN_CAGR" hidden="1">"c6071"</definedName>
    <definedName name="IQ_EARNING_CO_2YR_ANN_GROWTH" hidden="1">"c347"</definedName>
    <definedName name="IQ_EARNING_CO_3YR_ANN_CAGR" hidden="1">"c6072"</definedName>
    <definedName name="IQ_EARNING_CO_3YR_ANN_GROWTH" hidden="1">"c348"</definedName>
    <definedName name="IQ_EARNING_CO_5YR_ANN_CAGR" hidden="1">"c6073"</definedName>
    <definedName name="IQ_EARNING_CO_5YR_ANN_GROWTH" hidden="1">"c349"</definedName>
    <definedName name="IQ_EARNING_CO_7YR_ANN_CAGR" hidden="1">"c6074"</definedName>
    <definedName name="IQ_EARNING_CO_7YR_ANN_GROWTH" hidden="1">"c350"</definedName>
    <definedName name="IQ_EARNING_CO_MARGIN" hidden="1">"c351"</definedName>
    <definedName name="IQ_EARNINGS_ANNOUNCE_DATE" hidden="1">"c1649"</definedName>
    <definedName name="IQ_EARNINGS_ANNOUNCE_DATE_REUT" hidden="1">"c5314"</definedName>
    <definedName name="IQ_EBIT" hidden="1">"c352"</definedName>
    <definedName name="IQ_EBIT_10YR_ANN_CAGR" hidden="1">"c6075"</definedName>
    <definedName name="IQ_EBIT_10YR_ANN_GROWTH" hidden="1">"c353"</definedName>
    <definedName name="IQ_EBIT_1YR_ANN_GROWTH" hidden="1">"c354"</definedName>
    <definedName name="IQ_EBIT_2YR_ANN_CAGR" hidden="1">"c6076"</definedName>
    <definedName name="IQ_EBIT_2YR_ANN_GROWTH" hidden="1">"c355"</definedName>
    <definedName name="IQ_EBIT_3YR_ANN_CAGR" hidden="1">"c6077"</definedName>
    <definedName name="IQ_EBIT_3YR_ANN_GROWTH" hidden="1">"c356"</definedName>
    <definedName name="IQ_EBIT_5YR_ANN_CAGR" hidden="1">"c6078"</definedName>
    <definedName name="IQ_EBIT_5YR_ANN_GROWTH" hidden="1">"c357"</definedName>
    <definedName name="IQ_EBIT_7YR_ANN_CAGR" hidden="1">"c6079"</definedName>
    <definedName name="IQ_EBIT_7YR_ANN_GROWTH" hidden="1">"c358"</definedName>
    <definedName name="IQ_EBIT_ACT_OR_EST" hidden="1">"c2219"</definedName>
    <definedName name="IQ_EBIT_ACT_OR_EST_REUT" hidden="1">"c5465"</definedName>
    <definedName name="IQ_EBIT_EQ_INC" hidden="1">"c3498"</definedName>
    <definedName name="IQ_EBIT_EQ_INC_EXCL_SBC" hidden="1">"c3502"</definedName>
    <definedName name="IQ_EBIT_EST" hidden="1">"c1681"</definedName>
    <definedName name="IQ_EBIT_EST_REUT" hidden="1">"c5333"</definedName>
    <definedName name="IQ_EBIT_EXCL_SBC" hidden="1">"c3082"</definedName>
    <definedName name="IQ_EBIT_GUIDANCE" hidden="1">"c4303"</definedName>
    <definedName name="IQ_EBIT_GW_ACT_OR_EST" hidden="1">"c4306"</definedName>
    <definedName name="IQ_EBIT_GW_EST" hidden="1">"c4305"</definedName>
    <definedName name="IQ_EBIT_GW_GUIDANCE" hidden="1">"c4307"</definedName>
    <definedName name="IQ_EBIT_GW_HIGH_EST" hidden="1">"c4308"</definedName>
    <definedName name="IQ_EBIT_GW_HIGH_GUIDANCE" hidden="1">"c4171"</definedName>
    <definedName name="IQ_EBIT_GW_LOW_EST" hidden="1">"c4309"</definedName>
    <definedName name="IQ_EBIT_GW_LOW_GUIDANCE" hidden="1">"c4211"</definedName>
    <definedName name="IQ_EBIT_GW_MEDIAN_EST" hidden="1">"c4310"</definedName>
    <definedName name="IQ_EBIT_GW_NUM_EST" hidden="1">"c4311"</definedName>
    <definedName name="IQ_EBIT_GW_STDDEV_EST" hidden="1">"c4312"</definedName>
    <definedName name="IQ_EBIT_HIGH_EST" hidden="1">"c1683"</definedName>
    <definedName name="IQ_EBIT_HIGH_EST_REUT" hidden="1">"c5335"</definedName>
    <definedName name="IQ_EBIT_HIGH_GUIDANCE" hidden="1">"c4172"</definedName>
    <definedName name="IQ_EBIT_INT" hidden="1">"c360"</definedName>
    <definedName name="IQ_EBIT_LOW_EST" hidden="1">"c1684"</definedName>
    <definedName name="IQ_EBIT_LOW_EST_REUT" hidden="1">"c5336"</definedName>
    <definedName name="IQ_EBIT_LOW_GUIDANCE" hidden="1">"c4212"</definedName>
    <definedName name="IQ_EBIT_MARGIN" hidden="1">"c359"</definedName>
    <definedName name="IQ_EBIT_MEDIAN_EST" hidden="1">"c1682"</definedName>
    <definedName name="IQ_EBIT_MEDIAN_EST_REUT" hidden="1">"c5334"</definedName>
    <definedName name="IQ_EBIT_NUM_EST" hidden="1">"c1685"</definedName>
    <definedName name="IQ_EBIT_NUM_EST_REUT" hidden="1">"c5337"</definedName>
    <definedName name="IQ_EBIT_OVER_IE" hidden="1">"c1369"</definedName>
    <definedName name="IQ_EBIT_SBC_ACT_OR_EST" hidden="1">"c4316"</definedName>
    <definedName name="IQ_EBIT_SBC_EST" hidden="1">"c4315"</definedName>
    <definedName name="IQ_EBIT_SBC_GUIDANCE" hidden="1">"c4317"</definedName>
    <definedName name="IQ_EBIT_SBC_GW_ACT_OR_EST" hidden="1">"c4320"</definedName>
    <definedName name="IQ_EBIT_SBC_GW_EST" hidden="1">"c4319"</definedName>
    <definedName name="IQ_EBIT_SBC_GW_GUIDANCE" hidden="1">"c4321"</definedName>
    <definedName name="IQ_EBIT_SBC_GW_HIGH_EST" hidden="1">"c4322"</definedName>
    <definedName name="IQ_EBIT_SBC_GW_HIGH_GUIDANCE" hidden="1">"c4193"</definedName>
    <definedName name="IQ_EBIT_SBC_GW_LOW_EST" hidden="1">"c4323"</definedName>
    <definedName name="IQ_EBIT_SBC_GW_LOW_GUIDANCE" hidden="1">"c4233"</definedName>
    <definedName name="IQ_EBIT_SBC_GW_MEDIAN_EST" hidden="1">"c4324"</definedName>
    <definedName name="IQ_EBIT_SBC_GW_NUM_EST" hidden="1">"c4325"</definedName>
    <definedName name="IQ_EBIT_SBC_GW_STDDEV_EST" hidden="1">"c4326"</definedName>
    <definedName name="IQ_EBIT_SBC_HIGH_EST" hidden="1">"c4328"</definedName>
    <definedName name="IQ_EBIT_SBC_HIGH_GUIDANCE" hidden="1">"c4192"</definedName>
    <definedName name="IQ_EBIT_SBC_LOW_EST" hidden="1">"c4329"</definedName>
    <definedName name="IQ_EBIT_SBC_LOW_GUIDANCE" hidden="1">"c4232"</definedName>
    <definedName name="IQ_EBIT_SBC_MEDIAN_EST" hidden="1">"c4330"</definedName>
    <definedName name="IQ_EBIT_SBC_NUM_EST" hidden="1">"c4331"</definedName>
    <definedName name="IQ_EBIT_SBC_STDDEV_EST" hidden="1">"c4332"</definedName>
    <definedName name="IQ_EBIT_STDDEV_EST" hidden="1">"c1686"</definedName>
    <definedName name="IQ_EBIT_STDDEV_EST_REUT" hidden="1">"c5338"</definedName>
    <definedName name="IQ_EBITA" hidden="1">"c1910"</definedName>
    <definedName name="IQ_EBITA_10YR_ANN_CAGR" hidden="1">"c6184"</definedName>
    <definedName name="IQ_EBITA_10YR_ANN_GROWTH" hidden="1">"c1954"</definedName>
    <definedName name="IQ_EBITA_1YR_ANN_GROWTH" hidden="1">"c1949"</definedName>
    <definedName name="IQ_EBITA_2YR_ANN_CAGR" hidden="1">"c6180"</definedName>
    <definedName name="IQ_EBITA_2YR_ANN_GROWTH" hidden="1">"c1950"</definedName>
    <definedName name="IQ_EBITA_3YR_ANN_CAGR" hidden="1">"c6181"</definedName>
    <definedName name="IQ_EBITA_3YR_ANN_GROWTH" hidden="1">"c1951"</definedName>
    <definedName name="IQ_EBITA_5YR_ANN_CAGR" hidden="1">"c6182"</definedName>
    <definedName name="IQ_EBITA_5YR_ANN_GROWTH" hidden="1">"c1952"</definedName>
    <definedName name="IQ_EBITA_7YR_ANN_CAGR" hidden="1">"c6183"</definedName>
    <definedName name="IQ_EBITA_7YR_ANN_GROWTH" hidden="1">"c1953"</definedName>
    <definedName name="IQ_EBITA_EQ_INC" hidden="1">"c3497"</definedName>
    <definedName name="IQ_EBITA_EQ_INC_EXCL_SBC" hidden="1">"c3501"</definedName>
    <definedName name="IQ_EBITA_EXCL_SBC" hidden="1">"c3080"</definedName>
    <definedName name="IQ_EBITA_MARGIN" hidden="1">"c1963"</definedName>
    <definedName name="IQ_EBITDA" hidden="1">"c361"</definedName>
    <definedName name="IQ_EBITDA_10YR_ANN_CAGR" hidden="1">"c6080"</definedName>
    <definedName name="IQ_EBITDA_10YR_ANN_GROWTH" hidden="1">"c362"</definedName>
    <definedName name="IQ_EBITDA_1YR_ANN_GROWTH" hidden="1">"c363"</definedName>
    <definedName name="IQ_EBITDA_2YR_ANN_CAGR" hidden="1">"c6081"</definedName>
    <definedName name="IQ_EBITDA_2YR_ANN_GROWTH" hidden="1">"c364"</definedName>
    <definedName name="IQ_EBITDA_3YR_ANN_CAGR" hidden="1">"c6082"</definedName>
    <definedName name="IQ_EBITDA_3YR_ANN_GROWTH" hidden="1">"c365"</definedName>
    <definedName name="IQ_EBITDA_5YR_ANN_CAGR" hidden="1">"c6083"</definedName>
    <definedName name="IQ_EBITDA_5YR_ANN_GROWTH" hidden="1">"c366"</definedName>
    <definedName name="IQ_EBITDA_7YR_ANN_CAGR" hidden="1">"c6084"</definedName>
    <definedName name="IQ_EBITDA_7YR_ANN_GROWTH" hidden="1">"c367"</definedName>
    <definedName name="IQ_EBITDA_ACT_OR_EST" hidden="1">"c2215"</definedName>
    <definedName name="IQ_EBITDA_ACT_OR_EST_REUT" hidden="1">"c5462"</definedName>
    <definedName name="IQ_EBITDA_CAPEX_INT" hidden="1">"c368"</definedName>
    <definedName name="IQ_EBITDA_CAPEX_OVER_TOTAL_IE" hidden="1">"c1370"</definedName>
    <definedName name="IQ_EBITDA_EQ_INC" hidden="1">"c3496"</definedName>
    <definedName name="IQ_EBITDA_EQ_INC_EXCL_SBC" hidden="1">"c3500"</definedName>
    <definedName name="IQ_EBITDA_EST" hidden="1">"c369"</definedName>
    <definedName name="IQ_EBITDA_EST_REUT" hidden="1">"c3640"</definedName>
    <definedName name="IQ_EBITDA_EXCL_SBC" hidden="1">"c3081"</definedName>
    <definedName name="IQ_EBITDA_GUIDANCE" hidden="1">"c4334"</definedName>
    <definedName name="IQ_EBITDA_HIGH_EST" hidden="1">"c370"</definedName>
    <definedName name="IQ_EBITDA_HIGH_EST_REUT" hidden="1">"c3642"</definedName>
    <definedName name="IQ_EBITDA_HIGH_GUIDANCE" hidden="1">"c4170"</definedName>
    <definedName name="IQ_EBITDA_INT" hidden="1">"c373"</definedName>
    <definedName name="IQ_EBITDA_LOW_EST" hidden="1">"c371"</definedName>
    <definedName name="IQ_EBITDA_LOW_EST_REUT" hidden="1">"c3643"</definedName>
    <definedName name="IQ_EBITDA_LOW_GUIDANCE" hidden="1">"c4210"</definedName>
    <definedName name="IQ_EBITDA_MARGIN" hidden="1">"c372"</definedName>
    <definedName name="IQ_EBITDA_MEDIAN_EST" hidden="1">"c1663"</definedName>
    <definedName name="IQ_EBITDA_MEDIAN_EST_REUT" hidden="1">"c3641"</definedName>
    <definedName name="IQ_EBITDA_NUM_EST" hidden="1">"c374"</definedName>
    <definedName name="IQ_EBITDA_NUM_EST_REUT" hidden="1">"c3644"</definedName>
    <definedName name="IQ_EBITDA_OVER_TOTAL_IE" hidden="1">"c1371"</definedName>
    <definedName name="IQ_EBITDA_SBC_ACT_OR_EST" hidden="1">"c4337"</definedName>
    <definedName name="IQ_EBITDA_SBC_EST" hidden="1">"c4336"</definedName>
    <definedName name="IQ_EBITDA_SBC_GUIDANCE" hidden="1">"c4338"</definedName>
    <definedName name="IQ_EBITDA_SBC_HIGH_EST" hidden="1">"c4339"</definedName>
    <definedName name="IQ_EBITDA_SBC_HIGH_GUIDANCE" hidden="1">"c4194"</definedName>
    <definedName name="IQ_EBITDA_SBC_LOW_EST" hidden="1">"c4340"</definedName>
    <definedName name="IQ_EBITDA_SBC_LOW_GUIDANCE" hidden="1">"c4234"</definedName>
    <definedName name="IQ_EBITDA_SBC_MEDIAN_EST" hidden="1">"c4341"</definedName>
    <definedName name="IQ_EBITDA_SBC_NUM_EST" hidden="1">"c4342"</definedName>
    <definedName name="IQ_EBITDA_SBC_STDDEV_EST" hidden="1">"c4343"</definedName>
    <definedName name="IQ_EBITDA_STDDEV_EST" hidden="1">"c375"</definedName>
    <definedName name="IQ_EBITDA_STDDEV_EST_REUT" hidden="1">"c3645"</definedName>
    <definedName name="IQ_EBITDAR" hidden="1">"c2989"</definedName>
    <definedName name="IQ_EBITDAR_EQ_INC" hidden="1">"c3499"</definedName>
    <definedName name="IQ_EBITDAR_EQ_INC_EXCL_SBC" hidden="1">"c3503"</definedName>
    <definedName name="IQ_EBITDAR_EXCL_SBC" hidden="1">"c3083"</definedName>
    <definedName name="IQ_EBT" hidden="1">"c376"</definedName>
    <definedName name="IQ_EBT_BNK" hidden="1">"c377"</definedName>
    <definedName name="IQ_EBT_BR" hidden="1">"c378"</definedName>
    <definedName name="IQ_EBT_EXCL" hidden="1">"c379"</definedName>
    <definedName name="IQ_EBT_EXCL_BNK" hidden="1">"c380"</definedName>
    <definedName name="IQ_EBT_EXCL_BR" hidden="1">"c381"</definedName>
    <definedName name="IQ_EBT_EXCL_FIN" hidden="1">"c382"</definedName>
    <definedName name="IQ_EBT_EXCL_INS" hidden="1">"c383"</definedName>
    <definedName name="IQ_EBT_EXCL_MARGIN" hidden="1">"c1462"</definedName>
    <definedName name="IQ_EBT_EXCL_RE" hidden="1">"c6214"</definedName>
    <definedName name="IQ_EBT_EXCL_REIT" hidden="1">"c384"</definedName>
    <definedName name="IQ_EBT_EXCL_UTI" hidden="1">"c385"</definedName>
    <definedName name="IQ_EBT_FIN" hidden="1">"c386"</definedName>
    <definedName name="IQ_EBT_GAAP_GUIDANCE" hidden="1">"c4345"</definedName>
    <definedName name="IQ_EBT_GAAP_HIGH_GUIDANCE" hidden="1">"c4174"</definedName>
    <definedName name="IQ_EBT_GAAP_LOW_GUIDANCE" hidden="1">"c4214"</definedName>
    <definedName name="IQ_EBT_GUIDANCE" hidden="1">"c4346"</definedName>
    <definedName name="IQ_EBT_GW_GUIDANCE" hidden="1">"c4347"</definedName>
    <definedName name="IQ_EBT_GW_HIGH_GUIDANCE" hidden="1">"c4175"</definedName>
    <definedName name="IQ_EBT_GW_LOW_GUIDANCE" hidden="1">"c4215"</definedName>
    <definedName name="IQ_EBT_HIGH_GUIDANCE" hidden="1">"c4173"</definedName>
    <definedName name="IQ_EBT_INCL_MARGIN" hidden="1">"c387"</definedName>
    <definedName name="IQ_EBT_INS" hidden="1">"c388"</definedName>
    <definedName name="IQ_EBT_LOW_GUIDANCE" hidden="1">"c4213"</definedName>
    <definedName name="IQ_EBT_RE" hidden="1">"c6215"</definedName>
    <definedName name="IQ_EBT_REIT" hidden="1">"c389"</definedName>
    <definedName name="IQ_EBT_SBC_ACT_OR_EST" hidden="1">"c4350"</definedName>
    <definedName name="IQ_EBT_SBC_EST" hidden="1">"c4349"</definedName>
    <definedName name="IQ_EBT_SBC_GUIDANCE" hidden="1">"c4351"</definedName>
    <definedName name="IQ_EBT_SBC_GW_ACT_OR_EST" hidden="1">"c4354"</definedName>
    <definedName name="IQ_EBT_SBC_GW_EST" hidden="1">"c4353"</definedName>
    <definedName name="IQ_EBT_SBC_GW_GUIDANCE" hidden="1">"c4355"</definedName>
    <definedName name="IQ_EBT_SBC_GW_HIGH_EST" hidden="1">"c4356"</definedName>
    <definedName name="IQ_EBT_SBC_GW_HIGH_GUIDANCE" hidden="1">"c4191"</definedName>
    <definedName name="IQ_EBT_SBC_GW_LOW_EST" hidden="1">"c4357"</definedName>
    <definedName name="IQ_EBT_SBC_GW_LOW_GUIDANCE" hidden="1">"c4231"</definedName>
    <definedName name="IQ_EBT_SBC_GW_MEDIAN_EST" hidden="1">"c4358"</definedName>
    <definedName name="IQ_EBT_SBC_GW_NUM_EST" hidden="1">"c4359"</definedName>
    <definedName name="IQ_EBT_SBC_GW_STDDEV_EST" hidden="1">"c4360"</definedName>
    <definedName name="IQ_EBT_SBC_HIGH_EST" hidden="1">"c4362"</definedName>
    <definedName name="IQ_EBT_SBC_HIGH_GUIDANCE" hidden="1">"c4190"</definedName>
    <definedName name="IQ_EBT_SBC_LOW_EST" hidden="1">"c4363"</definedName>
    <definedName name="IQ_EBT_SBC_LOW_GUIDANCE" hidden="1">"c4230"</definedName>
    <definedName name="IQ_EBT_SBC_MEDIAN_EST" hidden="1">"c4364"</definedName>
    <definedName name="IQ_EBT_SBC_NUM_EST" hidden="1">"c4365"</definedName>
    <definedName name="IQ_EBT_SBC_STDDEV_EST" hidden="1">"c4366"</definedName>
    <definedName name="IQ_EBT_UTI" hidden="1">"c390"</definedName>
    <definedName name="IQ_ECS_AUTHORIZED_SHARES" hidden="1">"c5583"</definedName>
    <definedName name="IQ_ECS_AUTHORIZED_SHARES_ABS" hidden="1">"c5597"</definedName>
    <definedName name="IQ_ECS_CONVERT_FACTOR" hidden="1">"c5581"</definedName>
    <definedName name="IQ_ECS_CONVERT_FACTOR_ABS" hidden="1">"c5595"</definedName>
    <definedName name="IQ_ECS_CONVERT_INTO" hidden="1">"c5580"</definedName>
    <definedName name="IQ_ECS_CONVERT_INTO_ABS" hidden="1">"c5594"</definedName>
    <definedName name="IQ_ECS_CONVERT_TYPE" hidden="1">"c5579"</definedName>
    <definedName name="IQ_ECS_CONVERT_TYPE_ABS" hidden="1">"c5593"</definedName>
    <definedName name="IQ_ECS_INACTIVE_DATE" hidden="1">"c5576"</definedName>
    <definedName name="IQ_ECS_INACTIVE_DATE_ABS" hidden="1">"c5590"</definedName>
    <definedName name="IQ_ECS_NAME" hidden="1">"c5571"</definedName>
    <definedName name="IQ_ECS_NAME_ABS" hidden="1">"c5585"</definedName>
    <definedName name="IQ_ECS_NUM_SHAREHOLDERS" hidden="1">"c5584"</definedName>
    <definedName name="IQ_ECS_NUM_SHAREHOLDERS_ABS" hidden="1">"c5598"</definedName>
    <definedName name="IQ_ECS_PAR_VALUE" hidden="1">"c5577"</definedName>
    <definedName name="IQ_ECS_PAR_VALUE_ABS" hidden="1">"c5591"</definedName>
    <definedName name="IQ_ECS_PAR_VALUE_CURRENCY" hidden="1">"c5578"</definedName>
    <definedName name="IQ_ECS_PAR_VALUE_CURRENCY_ABS" hidden="1">"c5592"</definedName>
    <definedName name="IQ_ECS_SHARES_OUT_BS_DATE" hidden="1">"c5572"</definedName>
    <definedName name="IQ_ECS_SHARES_OUT_BS_DATE_ABS" hidden="1">"c5586"</definedName>
    <definedName name="IQ_ECS_SHARES_OUT_FILING_DATE" hidden="1">"c5573"</definedName>
    <definedName name="IQ_ECS_SHARES_OUT_FILING_DATE_ABS" hidden="1">"c5587"</definedName>
    <definedName name="IQ_ECS_START_DATE" hidden="1">"c5575"</definedName>
    <definedName name="IQ_ECS_START_DATE_ABS" hidden="1">"c5589"</definedName>
    <definedName name="IQ_ECS_TYPE" hidden="1">"c5574"</definedName>
    <definedName name="IQ_ECS_TYPE_ABS" hidden="1">"c5588"</definedName>
    <definedName name="IQ_ECS_VOTING" hidden="1">"c5582"</definedName>
    <definedName name="IQ_ECS_VOTING_ABS" hidden="1">"c5596"</definedName>
    <definedName name="IQ_EFFECT_SPECIAL_CHARGE" hidden="1">"c1595"</definedName>
    <definedName name="IQ_EFFECT_TAX_RATE" hidden="1">"c1899"</definedName>
    <definedName name="IQ_EFFICIENCY_RATIO" hidden="1">"c391"</definedName>
    <definedName name="IQ_EMPLOYEES" hidden="1">"c392"</definedName>
    <definedName name="IQ_ENTERPRISE_VALUE" hidden="1">"c1348"</definedName>
    <definedName name="IQ_EPS_10YR_ANN_CAGR" hidden="1">"c6085"</definedName>
    <definedName name="IQ_EPS_10YR_ANN_GROWTH" hidden="1">"c393"</definedName>
    <definedName name="IQ_EPS_1YR_ANN_GROWTH" hidden="1">"c394"</definedName>
    <definedName name="IQ_EPS_2YR_ANN_CAGR" hidden="1">"c6086"</definedName>
    <definedName name="IQ_EPS_2YR_ANN_GROWTH" hidden="1">"c395"</definedName>
    <definedName name="IQ_EPS_3YR_ANN_CAGR" hidden="1">"c6087"</definedName>
    <definedName name="IQ_EPS_3YR_ANN_GROWTH" hidden="1">"c396"</definedName>
    <definedName name="IQ_EPS_5YR_ANN_CAGR" hidden="1">"c6088"</definedName>
    <definedName name="IQ_EPS_5YR_ANN_GROWTH" hidden="1">"c397"</definedName>
    <definedName name="IQ_EPS_7YR_ANN_CAGR" hidden="1">"c6089"</definedName>
    <definedName name="IQ_EPS_7YR_ANN_GROWTH" hidden="1">"c398"</definedName>
    <definedName name="IQ_EPS_ACT_OR_EST" hidden="1">"c2213"</definedName>
    <definedName name="IQ_EPS_ACT_OR_EST_REUT" hidden="1">"c5460"</definedName>
    <definedName name="IQ_EPS_EST" hidden="1">"c399"</definedName>
    <definedName name="IQ_EPS_EST_BOTTOM_UP" hidden="1">"c5489"</definedName>
    <definedName name="IQ_EPS_EST_BOTTOM_UP_REUT" hidden="1">"c5497"</definedName>
    <definedName name="IQ_EPS_EST_REUT" hidden="1">"c5453"</definedName>
    <definedName name="IQ_EPS_EXCL_GUIDANCE" hidden="1">"c4368"</definedName>
    <definedName name="IQ_EPS_EXCL_HIGH_GUIDANCE" hidden="1">"c4369"</definedName>
    <definedName name="IQ_EPS_EXCL_LOW_GUIDANCE" hidden="1">"c4204"</definedName>
    <definedName name="IQ_EPS_GAAP_GUIDANCE" hidden="1">"c4370"</definedName>
    <definedName name="IQ_EPS_GAAP_HIGH_GUIDANCE" hidden="1">"c4371"</definedName>
    <definedName name="IQ_EPS_GAAP_LOW_GUIDANCE" hidden="1">"c4205"</definedName>
    <definedName name="IQ_EPS_GW_ACT_OR_EST" hidden="1">"c2223"</definedName>
    <definedName name="IQ_EPS_GW_ACT_OR_EST_REUT" hidden="1">"c5469"</definedName>
    <definedName name="IQ_EPS_GW_EST" hidden="1">"c1737"</definedName>
    <definedName name="IQ_EPS_GW_EST_BOTTOM_UP" hidden="1">"c5491"</definedName>
    <definedName name="IQ_EPS_GW_EST_BOTTOM_UP_REUT" hidden="1">"c5499"</definedName>
    <definedName name="IQ_EPS_GW_EST_REUT" hidden="1">"c5389"</definedName>
    <definedName name="IQ_EPS_GW_GUIDANCE" hidden="1">"c4372"</definedName>
    <definedName name="IQ_EPS_GW_HIGH_EST" hidden="1">"c1739"</definedName>
    <definedName name="IQ_EPS_GW_HIGH_EST_REUT" hidden="1">"c5391"</definedName>
    <definedName name="IQ_EPS_GW_HIGH_GUIDANCE" hidden="1">"c4373"</definedName>
    <definedName name="IQ_EPS_GW_LOW_EST" hidden="1">"c1740"</definedName>
    <definedName name="IQ_EPS_GW_LOW_EST_REUT" hidden="1">"c5392"</definedName>
    <definedName name="IQ_EPS_GW_LOW_GUIDANCE" hidden="1">"c4206"</definedName>
    <definedName name="IQ_EPS_GW_MEDIAN_EST" hidden="1">"c1738"</definedName>
    <definedName name="IQ_EPS_GW_MEDIAN_EST_REUT" hidden="1">"c5390"</definedName>
    <definedName name="IQ_EPS_GW_NUM_EST" hidden="1">"c1741"</definedName>
    <definedName name="IQ_EPS_GW_NUM_EST_REUT" hidden="1">"c5393"</definedName>
    <definedName name="IQ_EPS_GW_STDDEV_EST" hidden="1">"c1742"</definedName>
    <definedName name="IQ_EPS_GW_STDDEV_EST_REUT" hidden="1">"c5394"</definedName>
    <definedName name="IQ_EPS_HIGH_EST" hidden="1">"c400"</definedName>
    <definedName name="IQ_EPS_HIGH_EST_REUT" hidden="1">"c5454"</definedName>
    <definedName name="IQ_EPS_LOW_EST" hidden="1">"c401"</definedName>
    <definedName name="IQ_EPS_LOW_EST_REUT" hidden="1">"c5455"</definedName>
    <definedName name="IQ_EPS_MEDIAN_EST" hidden="1">"c1661"</definedName>
    <definedName name="IQ_EPS_MEDIAN_EST_REUT" hidden="1">"c5456"</definedName>
    <definedName name="IQ_EPS_NORM" hidden="1">"c1902"</definedName>
    <definedName name="IQ_EPS_NORM_EST" hidden="1">"c2226"</definedName>
    <definedName name="IQ_EPS_NORM_EST_BOTTOM_UP" hidden="1">"c5490"</definedName>
    <definedName name="IQ_EPS_NORM_EST_BOTTOM_UP_REUT" hidden="1">"c5498"</definedName>
    <definedName name="IQ_EPS_NORM_EST_REUT" hidden="1">"c5326"</definedName>
    <definedName name="IQ_EPS_NORM_HIGH_EST" hidden="1">"c2228"</definedName>
    <definedName name="IQ_EPS_NORM_HIGH_EST_REUT" hidden="1">"c5328"</definedName>
    <definedName name="IQ_EPS_NORM_LOW_EST" hidden="1">"c2229"</definedName>
    <definedName name="IQ_EPS_NORM_LOW_EST_REUT" hidden="1">"c5329"</definedName>
    <definedName name="IQ_EPS_NORM_MEDIAN_EST" hidden="1">"c2227"</definedName>
    <definedName name="IQ_EPS_NORM_MEDIAN_EST_REUT" hidden="1">"c5327"</definedName>
    <definedName name="IQ_EPS_NORM_NUM_EST" hidden="1">"c2230"</definedName>
    <definedName name="IQ_EPS_NORM_NUM_EST_REUT" hidden="1">"c5330"</definedName>
    <definedName name="IQ_EPS_NORM_STDDEV_EST" hidden="1">"c2231"</definedName>
    <definedName name="IQ_EPS_NORM_STDDEV_EST_REUT" hidden="1">"c5331"</definedName>
    <definedName name="IQ_EPS_NUM_EST" hidden="1">"c402"</definedName>
    <definedName name="IQ_EPS_NUM_EST_REUT" hidden="1">"c5451"</definedName>
    <definedName name="IQ_EPS_REPORT_ACT_OR_EST" hidden="1">"c2224"</definedName>
    <definedName name="IQ_EPS_REPORT_ACT_OR_EST_REUT" hidden="1">"c5470"</definedName>
    <definedName name="IQ_EPS_REPORTED_EST" hidden="1">"c1744"</definedName>
    <definedName name="IQ_EPS_REPORTED_EST_BOTTOM_UP" hidden="1">"c5492"</definedName>
    <definedName name="IQ_EPS_REPORTED_EST_BOTTOM_UP_REUT" hidden="1">"c5500"</definedName>
    <definedName name="IQ_EPS_REPORTED_EST_REUT" hidden="1">"c5396"</definedName>
    <definedName name="IQ_EPS_REPORTED_HIGH_EST" hidden="1">"c1746"</definedName>
    <definedName name="IQ_EPS_REPORTED_HIGH_EST_REUT" hidden="1">"c5398"</definedName>
    <definedName name="IQ_EPS_REPORTED_LOW_EST" hidden="1">"c1747"</definedName>
    <definedName name="IQ_EPS_REPORTED_LOW_EST_REUT" hidden="1">"c5399"</definedName>
    <definedName name="IQ_EPS_REPORTED_MEDIAN_EST" hidden="1">"c1745"</definedName>
    <definedName name="IQ_EPS_REPORTED_MEDIAN_EST_REUT" hidden="1">"c5397"</definedName>
    <definedName name="IQ_EPS_REPORTED_NUM_EST" hidden="1">"c1748"</definedName>
    <definedName name="IQ_EPS_REPORTED_NUM_EST_REUT" hidden="1">"c5400"</definedName>
    <definedName name="IQ_EPS_REPORTED_STDDEV_EST" hidden="1">"c1749"</definedName>
    <definedName name="IQ_EPS_REPORTED_STDDEV_EST_REUT" hidden="1">"c5401"</definedName>
    <definedName name="IQ_EPS_SBC_ACT_OR_EST" hidden="1">"c4376"</definedName>
    <definedName name="IQ_EPS_SBC_EST" hidden="1">"c4375"</definedName>
    <definedName name="IQ_EPS_SBC_GUIDANCE" hidden="1">"c4377"</definedName>
    <definedName name="IQ_EPS_SBC_GW_ACT_OR_EST" hidden="1">"c4380"</definedName>
    <definedName name="IQ_EPS_SBC_GW_EST" hidden="1">"c4379"</definedName>
    <definedName name="IQ_EPS_SBC_GW_GUIDANCE" hidden="1">"c4381"</definedName>
    <definedName name="IQ_EPS_SBC_GW_HIGH_EST" hidden="1">"c4382"</definedName>
    <definedName name="IQ_EPS_SBC_GW_HIGH_GUIDANCE" hidden="1">"c4189"</definedName>
    <definedName name="IQ_EPS_SBC_GW_LOW_EST" hidden="1">"c4383"</definedName>
    <definedName name="IQ_EPS_SBC_GW_LOW_GUIDANCE" hidden="1">"c4229"</definedName>
    <definedName name="IQ_EPS_SBC_GW_MEDIAN_EST" hidden="1">"c4384"</definedName>
    <definedName name="IQ_EPS_SBC_GW_NUM_EST" hidden="1">"c4385"</definedName>
    <definedName name="IQ_EPS_SBC_GW_STDDEV_EST" hidden="1">"c4386"</definedName>
    <definedName name="IQ_EPS_SBC_HIGH_EST" hidden="1">"c4388"</definedName>
    <definedName name="IQ_EPS_SBC_HIGH_GUIDANCE" hidden="1">"c4188"</definedName>
    <definedName name="IQ_EPS_SBC_LOW_EST" hidden="1">"c4389"</definedName>
    <definedName name="IQ_EPS_SBC_LOW_GUIDANCE" hidden="1">"c4228"</definedName>
    <definedName name="IQ_EPS_SBC_MEDIAN_EST" hidden="1">"c4390"</definedName>
    <definedName name="IQ_EPS_SBC_NUM_EST" hidden="1">"c4391"</definedName>
    <definedName name="IQ_EPS_SBC_STDDEV_EST" hidden="1">"c4392"</definedName>
    <definedName name="IQ_EPS_STDDEV_EST" hidden="1">"c403"</definedName>
    <definedName name="IQ_EPS_STDDEV_EST_REUT" hidden="1">"c5452"</definedName>
    <definedName name="IQ_EQUITY_AFFIL" hidden="1">"c1451"</definedName>
    <definedName name="IQ_EQUITY_METHOD" hidden="1">"c404"</definedName>
    <definedName name="IQ_EQV_OVER_BV" hidden="1">"c1596"</definedName>
    <definedName name="IQ_EQV_OVER_LTM_PRETAX_INC" hidden="1">"c1390"</definedName>
    <definedName name="IQ_ESOP_DEBT" hidden="1">"c1597"</definedName>
    <definedName name="IQ_EST_ACT_BV" hidden="1">"c5630"</definedName>
    <definedName name="IQ_EST_ACT_BV_REUT" hidden="1">"c5409"</definedName>
    <definedName name="IQ_EST_ACT_BV_SHARE" hidden="1">"c3549"</definedName>
    <definedName name="IQ_EST_ACT_BV_SHARE_REUT" hidden="1">"c5445"</definedName>
    <definedName name="IQ_EST_ACT_CAPEX" hidden="1">"c3546"</definedName>
    <definedName name="IQ_EST_ACT_CAPEX_REUT" hidden="1">"c3975"</definedName>
    <definedName name="IQ_EST_ACT_CASH_EPS" hidden="1">"c5637"</definedName>
    <definedName name="IQ_EST_ACT_CASH_FLOW" hidden="1">"c4394"</definedName>
    <definedName name="IQ_EST_ACT_CASH_OPER" hidden="1">"c4395"</definedName>
    <definedName name="IQ_EST_ACT_CFPS" hidden="1">"c1673"</definedName>
    <definedName name="IQ_EST_ACT_CFPS_REUT" hidden="1">"c3850"</definedName>
    <definedName name="IQ_EST_ACT_DISTRIBUTABLE_CASH" hidden="1">"c4396"</definedName>
    <definedName name="IQ_EST_ACT_DISTRIBUTABLE_CASH_SHARE" hidden="1">"c4397"</definedName>
    <definedName name="IQ_EST_ACT_DPS" hidden="1">"c1680"</definedName>
    <definedName name="IQ_EST_ACT_DPS_REUT" hidden="1">"c3857"</definedName>
    <definedName name="IQ_EST_ACT_EBIT" hidden="1">"c1687"</definedName>
    <definedName name="IQ_EST_ACT_EBIT_GW" hidden="1">"c4398"</definedName>
    <definedName name="IQ_EST_ACT_EBIT_REUT" hidden="1">"c5339"</definedName>
    <definedName name="IQ_EST_ACT_EBIT_SBC" hidden="1">"c4399"</definedName>
    <definedName name="IQ_EST_ACT_EBIT_SBC_GW" hidden="1">"c4400"</definedName>
    <definedName name="IQ_EST_ACT_EBITDA" hidden="1">"c1664"</definedName>
    <definedName name="IQ_EST_ACT_EBITDA_REUT" hidden="1">"c3836"</definedName>
    <definedName name="IQ_EST_ACT_EBITDA_SBC" hidden="1">"c4401"</definedName>
    <definedName name="IQ_EST_ACT_EBT_SBC" hidden="1">"c4402"</definedName>
    <definedName name="IQ_EST_ACT_EBT_SBC_GW" hidden="1">"c4403"</definedName>
    <definedName name="IQ_EST_ACT_EPS" hidden="1">"c1648"</definedName>
    <definedName name="IQ_EST_ACT_EPS_GW" hidden="1">"c1743"</definedName>
    <definedName name="IQ_EST_ACT_EPS_GW_REUT" hidden="1">"c5395"</definedName>
    <definedName name="IQ_EST_ACT_EPS_NORM" hidden="1">"c2232"</definedName>
    <definedName name="IQ_EST_ACT_EPS_NORM_REUT" hidden="1">"c5332"</definedName>
    <definedName name="IQ_EST_ACT_EPS_REPORTED" hidden="1">"c1750"</definedName>
    <definedName name="IQ_EST_ACT_EPS_REPORTED_REUT" hidden="1">"c5402"</definedName>
    <definedName name="IQ_EST_ACT_EPS_REUT" hidden="1">"c5457"</definedName>
    <definedName name="IQ_EST_ACT_EPS_SBC" hidden="1">"c4404"</definedName>
    <definedName name="IQ_EST_ACT_EPS_SBC_GW" hidden="1">"c4405"</definedName>
    <definedName name="IQ_EST_ACT_FFO" hidden="1">"c1666"</definedName>
    <definedName name="IQ_EST_ACT_FFO_ADJ" hidden="1">"c4406"</definedName>
    <definedName name="IQ_EST_ACT_FFO_REUT" hidden="1">"c3843"</definedName>
    <definedName name="IQ_EST_ACT_FFO_SHARE" hidden="1">"c4407"</definedName>
    <definedName name="IQ_EST_ACT_GROSS_MARGIN" hidden="1">"c5553"</definedName>
    <definedName name="IQ_EST_ACT_MAINT_CAPEX" hidden="1">"c4408"</definedName>
    <definedName name="IQ_EST_ACT_NAV" hidden="1">"c1757"</definedName>
    <definedName name="IQ_EST_ACT_NAV_SHARE" hidden="1">"c5608"</definedName>
    <definedName name="IQ_EST_ACT_NAV_SHARE_REUT" hidden="1">"c5616"</definedName>
    <definedName name="IQ_EST_ACT_NET_DEBT" hidden="1">"c3545"</definedName>
    <definedName name="IQ_EST_ACT_NET_DEBT_REUT" hidden="1">"c5446"</definedName>
    <definedName name="IQ_EST_ACT_NI" hidden="1">"c1722"</definedName>
    <definedName name="IQ_EST_ACT_NI_GW" hidden="1">"c1729"</definedName>
    <definedName name="IQ_EST_ACT_NI_GW_REUT" hidden="1">"c5381"</definedName>
    <definedName name="IQ_EST_ACT_NI_REPORTED" hidden="1">"c1736"</definedName>
    <definedName name="IQ_EST_ACT_NI_REPORTED_REUT" hidden="1">"c5388"</definedName>
    <definedName name="IQ_EST_ACT_NI_REUT" hidden="1">"c5374"</definedName>
    <definedName name="IQ_EST_ACT_NI_SBC" hidden="1">"c4409"</definedName>
    <definedName name="IQ_EST_ACT_NI_SBC_GW" hidden="1">"c4410"</definedName>
    <definedName name="IQ_EST_ACT_OPER_INC" hidden="1">"c1694"</definedName>
    <definedName name="IQ_EST_ACT_OPER_INC_REUT" hidden="1">"c5346"</definedName>
    <definedName name="IQ_EST_ACT_PRETAX_GW_INC" hidden="1">"c1708"</definedName>
    <definedName name="IQ_EST_ACT_PRETAX_GW_INC_REUT" hidden="1">"c5360"</definedName>
    <definedName name="IQ_EST_ACT_PRETAX_INC" hidden="1">"c1701"</definedName>
    <definedName name="IQ_EST_ACT_PRETAX_INC_REUT" hidden="1">"c5353"</definedName>
    <definedName name="IQ_EST_ACT_PRETAX_REPORT_INC" hidden="1">"c1715"</definedName>
    <definedName name="IQ_EST_ACT_PRETAX_REPORT_INC_REUT" hidden="1">"c5367"</definedName>
    <definedName name="IQ_EST_ACT_RECURRING_PROFIT" hidden="1">"c4411"</definedName>
    <definedName name="IQ_EST_ACT_RECURRING_PROFIT_SHARE" hidden="1">"c4412"</definedName>
    <definedName name="IQ_EST_ACT_RETURN_ASSETS" hidden="1">"c3547"</definedName>
    <definedName name="IQ_EST_ACT_RETURN_ASSETS_REUT" hidden="1">"c3996"</definedName>
    <definedName name="IQ_EST_ACT_RETURN_EQUITY" hidden="1">"c3548"</definedName>
    <definedName name="IQ_EST_ACT_RETURN_EQUITY_REUT" hidden="1">"c3989"</definedName>
    <definedName name="IQ_EST_ACT_REV" hidden="1">"c2113"</definedName>
    <definedName name="IQ_EST_ACT_REV_REUT" hidden="1">"c3835"</definedName>
    <definedName name="IQ_EST_BV_DIFF_REUT" hidden="1">"c5433"</definedName>
    <definedName name="IQ_EST_BV_SHARE_DIFF" hidden="1">"c4147"</definedName>
    <definedName name="IQ_EST_BV_SHARE_SURPRISE_PERCENT" hidden="1">"c4148"</definedName>
    <definedName name="IQ_EST_BV_SURPRISE_PERCENT_REUT" hidden="1">"c5434"</definedName>
    <definedName name="IQ_EST_CAPEX_DIFF" hidden="1">"c4149"</definedName>
    <definedName name="IQ_EST_CAPEX_GROWTH_1YR" hidden="1">"c3588"</definedName>
    <definedName name="IQ_EST_CAPEX_GROWTH_1YR_REUT" hidden="1">"c5447"</definedName>
    <definedName name="IQ_EST_CAPEX_GROWTH_2YR" hidden="1">"c3589"</definedName>
    <definedName name="IQ_EST_CAPEX_GROWTH_2YR_REUT" hidden="1">"c5448"</definedName>
    <definedName name="IQ_EST_CAPEX_GROWTH_Q_1YR" hidden="1">"c3590"</definedName>
    <definedName name="IQ_EST_CAPEX_GROWTH_Q_1YR_REUT" hidden="1">"c5449"</definedName>
    <definedName name="IQ_EST_CAPEX_SEQ_GROWTH_Q" hidden="1">"c3591"</definedName>
    <definedName name="IQ_EST_CAPEX_SEQ_GROWTH_Q_REUT" hidden="1">"c5450"</definedName>
    <definedName name="IQ_EST_CAPEX_SURPRISE_PERCENT" hidden="1">"c4151"</definedName>
    <definedName name="IQ_EST_CASH_FLOW_DIFF" hidden="1">"c4152"</definedName>
    <definedName name="IQ_EST_CASH_FLOW_SURPRISE_PERCENT" hidden="1">"c4161"</definedName>
    <definedName name="IQ_EST_CASH_OPER_DIFF" hidden="1">"c4162"</definedName>
    <definedName name="IQ_EST_CASH_OPER_SURPRISE_PERCENT" hidden="1">"c4248"</definedName>
    <definedName name="IQ_EST_CFPS_DIFF" hidden="1">"c1871"</definedName>
    <definedName name="IQ_EST_CFPS_DIFF_REUT" hidden="1">"c3892"</definedName>
    <definedName name="IQ_EST_CFPS_GROWTH_1YR" hidden="1">"c1774"</definedName>
    <definedName name="IQ_EST_CFPS_GROWTH_1YR_REUT" hidden="1">"c3878"</definedName>
    <definedName name="IQ_EST_CFPS_GROWTH_2YR" hidden="1">"c1775"</definedName>
    <definedName name="IQ_EST_CFPS_GROWTH_2YR_REUT" hidden="1">"c3879"</definedName>
    <definedName name="IQ_EST_CFPS_GROWTH_Q_1YR" hidden="1">"c1776"</definedName>
    <definedName name="IQ_EST_CFPS_GROWTH_Q_1YR_REUT" hidden="1">"c3880"</definedName>
    <definedName name="IQ_EST_CFPS_SEQ_GROWTH_Q" hidden="1">"c1777"</definedName>
    <definedName name="IQ_EST_CFPS_SEQ_GROWTH_Q_REUT" hidden="1">"c3881"</definedName>
    <definedName name="IQ_EST_CFPS_SURPRISE_PERCENT" hidden="1">"c1872"</definedName>
    <definedName name="IQ_EST_CFPS_SURPRISE_PERCENT_REUT" hidden="1">"c3893"</definedName>
    <definedName name="IQ_EST_CURRENCY" hidden="1">"c2140"</definedName>
    <definedName name="IQ_EST_CURRENCY_REUT" hidden="1">"c5437"</definedName>
    <definedName name="IQ_EST_DATE" hidden="1">"c1634"</definedName>
    <definedName name="IQ_EST_DATE_REUT" hidden="1">"c5438"</definedName>
    <definedName name="IQ_EST_DISTRIBUTABLE_CASH_DIFF" hidden="1">"c4276"</definedName>
    <definedName name="IQ_EST_DISTRIBUTABLE_CASH_GROWTH_1YR" hidden="1">"c4413"</definedName>
    <definedName name="IQ_EST_DISTRIBUTABLE_CASH_GROWTH_2YR" hidden="1">"c4414"</definedName>
    <definedName name="IQ_EST_DISTRIBUTABLE_CASH_GROWTH_Q_1YR" hidden="1">"c4415"</definedName>
    <definedName name="IQ_EST_DISTRIBUTABLE_CASH_SEQ_GROWTH_Q" hidden="1">"c4416"</definedName>
    <definedName name="IQ_EST_DISTRIBUTABLE_CASH_SHARE_DIFF" hidden="1">"c4284"</definedName>
    <definedName name="IQ_EST_DISTRIBUTABLE_CASH_SHARE_GROWTH_1YR" hidden="1">"c4417"</definedName>
    <definedName name="IQ_EST_DISTRIBUTABLE_CASH_SHARE_GROWTH_2YR" hidden="1">"c4418"</definedName>
    <definedName name="IQ_EST_DISTRIBUTABLE_CASH_SHARE_GROWTH_Q_1YR" hidden="1">"c4419"</definedName>
    <definedName name="IQ_EST_DISTRIBUTABLE_CASH_SHARE_SEQ_GROWTH_Q" hidden="1">"c4420"</definedName>
    <definedName name="IQ_EST_DISTRIBUTABLE_CASH_SHARE_SURPRISE_PERCENT" hidden="1">"c4293"</definedName>
    <definedName name="IQ_EST_DISTRIBUTABLE_CASH_SURPRISE_PERCENT" hidden="1">"c4295"</definedName>
    <definedName name="IQ_EST_DPS_DIFF" hidden="1">"c1873"</definedName>
    <definedName name="IQ_EST_DPS_DIFF_REUT" hidden="1">"c3894"</definedName>
    <definedName name="IQ_EST_DPS_GROWTH_1YR" hidden="1">"c1778"</definedName>
    <definedName name="IQ_EST_DPS_GROWTH_1YR_REUT" hidden="1">"c3882"</definedName>
    <definedName name="IQ_EST_DPS_GROWTH_2YR" hidden="1">"c1779"</definedName>
    <definedName name="IQ_EST_DPS_GROWTH_2YR_REUT" hidden="1">"c3883"</definedName>
    <definedName name="IQ_EST_DPS_GROWTH_Q_1YR" hidden="1">"c1780"</definedName>
    <definedName name="IQ_EST_DPS_GROWTH_Q_1YR_REUT" hidden="1">"c3884"</definedName>
    <definedName name="IQ_EST_DPS_SEQ_GROWTH_Q" hidden="1">"c1781"</definedName>
    <definedName name="IQ_EST_DPS_SEQ_GROWTH_Q_REUT" hidden="1">"c3885"</definedName>
    <definedName name="IQ_EST_DPS_SURPRISE_PERCENT" hidden="1">"c1874"</definedName>
    <definedName name="IQ_EST_DPS_SURPRISE_PERCENT_REUT" hidden="1">"c3895"</definedName>
    <definedName name="IQ_EST_EBIT_DIFF" hidden="1">"c1875"</definedName>
    <definedName name="IQ_EST_EBIT_DIFF_REUT" hidden="1">"c5413"</definedName>
    <definedName name="IQ_EST_EBIT_GW_DIFF" hidden="1">"c4304"</definedName>
    <definedName name="IQ_EST_EBIT_GW_SURPRISE_PERCENT" hidden="1">"c4313"</definedName>
    <definedName name="IQ_EST_EBIT_SBC_DIFF" hidden="1">"c4314"</definedName>
    <definedName name="IQ_EST_EBIT_SBC_GW_DIFF" hidden="1">"c4318"</definedName>
    <definedName name="IQ_EST_EBIT_SBC_GW_SURPRISE_PERCENT" hidden="1">"c4327"</definedName>
    <definedName name="IQ_EST_EBIT_SBC_SURPRISE_PERCENT" hidden="1">"c4333"</definedName>
    <definedName name="IQ_EST_EBIT_SURPRISE_PERCENT" hidden="1">"c1876"</definedName>
    <definedName name="IQ_EST_EBIT_SURPRISE_PERCENT_REUT" hidden="1">"c5414"</definedName>
    <definedName name="IQ_EST_EBITDA_DIFF" hidden="1">"c1867"</definedName>
    <definedName name="IQ_EST_EBITDA_DIFF_REUT" hidden="1">"c3888"</definedName>
    <definedName name="IQ_EST_EBITDA_GROWTH_1YR" hidden="1">"c1766"</definedName>
    <definedName name="IQ_EST_EBITDA_GROWTH_1YR_REUT" hidden="1">"c3864"</definedName>
    <definedName name="IQ_EST_EBITDA_GROWTH_2YR" hidden="1">"c1767"</definedName>
    <definedName name="IQ_EST_EBITDA_GROWTH_2YR_REUT" hidden="1">"c3865"</definedName>
    <definedName name="IQ_EST_EBITDA_GROWTH_Q_1YR" hidden="1">"c1768"</definedName>
    <definedName name="IQ_EST_EBITDA_GROWTH_Q_1YR_REUT" hidden="1">"c3866"</definedName>
    <definedName name="IQ_EST_EBITDA_SBC_DIFF" hidden="1">"c4335"</definedName>
    <definedName name="IQ_EST_EBITDA_SBC_SURPRISE_PERCENT" hidden="1">"c4344"</definedName>
    <definedName name="IQ_EST_EBITDA_SEQ_GROWTH_Q" hidden="1">"c1769"</definedName>
    <definedName name="IQ_EST_EBITDA_SEQ_GROWTH_Q_REUT" hidden="1">"c3867"</definedName>
    <definedName name="IQ_EST_EBITDA_SURPRISE_PERCENT" hidden="1">"c1868"</definedName>
    <definedName name="IQ_EST_EBITDA_SURPRISE_PERCENT_REUT" hidden="1">"c3889"</definedName>
    <definedName name="IQ_EST_EBT_SBC_DIFF" hidden="1">"c4348"</definedName>
    <definedName name="IQ_EST_EBT_SBC_GW_DIFF" hidden="1">"c4352"</definedName>
    <definedName name="IQ_EST_EBT_SBC_GW_SURPRISE_PERCENT" hidden="1">"c4361"</definedName>
    <definedName name="IQ_EST_EBT_SBC_SURPRISE_PERCENT" hidden="1">"c4367"</definedName>
    <definedName name="IQ_EST_EPS_DIFF" hidden="1">"c1864"</definedName>
    <definedName name="IQ_EST_EPS_DIFF_REUT" hidden="1">"c5458"</definedName>
    <definedName name="IQ_EST_EPS_GROWTH_1YR" hidden="1">"c1636"</definedName>
    <definedName name="IQ_EST_EPS_GROWTH_1YR_REUT" hidden="1">"c3646"</definedName>
    <definedName name="IQ_EST_EPS_GROWTH_2YR" hidden="1">"c1637"</definedName>
    <definedName name="IQ_EST_EPS_GROWTH_2YR_REUT" hidden="1">"c3858"</definedName>
    <definedName name="IQ_EST_EPS_GROWTH_5YR" hidden="1">"c1655"</definedName>
    <definedName name="IQ_EST_EPS_GROWTH_5YR_BOTTOM_UP" hidden="1">"c5487"</definedName>
    <definedName name="IQ_EST_EPS_GROWTH_5YR_BOTTOM_UP_REUT" hidden="1">"c5495"</definedName>
    <definedName name="IQ_EST_EPS_GROWTH_5YR_HIGH" hidden="1">"c1657"</definedName>
    <definedName name="IQ_EST_EPS_GROWTH_5YR_HIGH_REUT" hidden="1">"c5322"</definedName>
    <definedName name="IQ_EST_EPS_GROWTH_5YR_LOW" hidden="1">"c1658"</definedName>
    <definedName name="IQ_EST_EPS_GROWTH_5YR_LOW_REUT" hidden="1">"c5323"</definedName>
    <definedName name="IQ_EST_EPS_GROWTH_5YR_MEDIAN" hidden="1">"c1656"</definedName>
    <definedName name="IQ_EST_EPS_GROWTH_5YR_MEDIAN_REUT" hidden="1">"c5321"</definedName>
    <definedName name="IQ_EST_EPS_GROWTH_5YR_NUM" hidden="1">"c1659"</definedName>
    <definedName name="IQ_EST_EPS_GROWTH_5YR_NUM_REUT" hidden="1">"c5324"</definedName>
    <definedName name="IQ_EST_EPS_GROWTH_5YR_REUT" hidden="1">"c3633"</definedName>
    <definedName name="IQ_EST_EPS_GROWTH_5YR_STDDEV" hidden="1">"c1660"</definedName>
    <definedName name="IQ_EST_EPS_GROWTH_5YR_STDDEV_REUT" hidden="1">"c5325"</definedName>
    <definedName name="IQ_EST_EPS_GROWTH_Q_1YR" hidden="1">"c1641"</definedName>
    <definedName name="IQ_EST_EPS_GROWTH_Q_1YR_REUT" hidden="1">"c5410"</definedName>
    <definedName name="IQ_EST_EPS_GW_DIFF" hidden="1">"c1891"</definedName>
    <definedName name="IQ_EST_EPS_GW_DIFF_REUT" hidden="1">"c5429"</definedName>
    <definedName name="IQ_EST_EPS_GW_SURPRISE_PERCENT" hidden="1">"c1892"</definedName>
    <definedName name="IQ_EST_EPS_GW_SURPRISE_PERCENT_REUT" hidden="1">"c5430"</definedName>
    <definedName name="IQ_EST_EPS_NORM_DIFF" hidden="1">"c2247"</definedName>
    <definedName name="IQ_EST_EPS_NORM_DIFF_REUT" hidden="1">"c5411"</definedName>
    <definedName name="IQ_EST_EPS_NORM_SURPRISE_PERCENT" hidden="1">"c2248"</definedName>
    <definedName name="IQ_EST_EPS_NORM_SURPRISE_PERCENT_REUT" hidden="1">"c5412"</definedName>
    <definedName name="IQ_EST_EPS_REPORT_DIFF" hidden="1">"c1893"</definedName>
    <definedName name="IQ_EST_EPS_REPORT_DIFF_REUT" hidden="1">"c5431"</definedName>
    <definedName name="IQ_EST_EPS_REPORT_SURPRISE_PERCENT" hidden="1">"c1894"</definedName>
    <definedName name="IQ_EST_EPS_REPORT_SURPRISE_PERCENT_REUT" hidden="1">"c5432"</definedName>
    <definedName name="IQ_EST_EPS_SBC_DIFF" hidden="1">"c4374"</definedName>
    <definedName name="IQ_EST_EPS_SBC_GW_DIFF" hidden="1">"c4378"</definedName>
    <definedName name="IQ_EST_EPS_SBC_GW_SURPRISE_PERCENT" hidden="1">"c4387"</definedName>
    <definedName name="IQ_EST_EPS_SBC_SURPRISE_PERCENT" hidden="1">"c4393"</definedName>
    <definedName name="IQ_EST_EPS_SEQ_GROWTH_Q" hidden="1">"c1764"</definedName>
    <definedName name="IQ_EST_EPS_SEQ_GROWTH_Q_REUT" hidden="1">"c3859"</definedName>
    <definedName name="IQ_EST_EPS_SURPRISE_PERCENT" hidden="1">"c1635"</definedName>
    <definedName name="IQ_EST_EPS_SURPRISE_PERCENT_REUT" hidden="1">"c5459"</definedName>
    <definedName name="IQ_EST_FFO_ADJ_DIFF" hidden="1">"c4433"</definedName>
    <definedName name="IQ_EST_FFO_ADJ_GROWTH_1YR" hidden="1">"c4421"</definedName>
    <definedName name="IQ_EST_FFO_ADJ_GROWTH_2YR" hidden="1">"c4422"</definedName>
    <definedName name="IQ_EST_FFO_ADJ_GROWTH_Q_1YR" hidden="1">"c4423"</definedName>
    <definedName name="IQ_EST_FFO_ADJ_SEQ_GROWTH_Q" hidden="1">"c4424"</definedName>
    <definedName name="IQ_EST_FFO_ADJ_SURPRISE_PERCENT" hidden="1">"c4442"</definedName>
    <definedName name="IQ_EST_FFO_DIFF" hidden="1">"c1869"</definedName>
    <definedName name="IQ_EST_FFO_DIFF_REUT" hidden="1">"c3890"</definedName>
    <definedName name="IQ_EST_FFO_GROWTH_1YR" hidden="1">"c1770"</definedName>
    <definedName name="IQ_EST_FFO_GROWTH_1YR_REUT" hidden="1">"c3874"</definedName>
    <definedName name="IQ_EST_FFO_GROWTH_2YR" hidden="1">"c1771"</definedName>
    <definedName name="IQ_EST_FFO_GROWTH_2YR_REUT" hidden="1">"c3875"</definedName>
    <definedName name="IQ_EST_FFO_GROWTH_Q_1YR" hidden="1">"c1772"</definedName>
    <definedName name="IQ_EST_FFO_GROWTH_Q_1YR_REUT" hidden="1">"c3876"</definedName>
    <definedName name="IQ_EST_FFO_SEQ_GROWTH_Q" hidden="1">"c1773"</definedName>
    <definedName name="IQ_EST_FFO_SEQ_GROWTH_Q_REUT" hidden="1">"c3877"</definedName>
    <definedName name="IQ_EST_FFO_SHARE_DIFF" hidden="1">"c4444"</definedName>
    <definedName name="IQ_EST_FFO_SHARE_GROWTH_1YR" hidden="1">"c4425"</definedName>
    <definedName name="IQ_EST_FFO_SHARE_GROWTH_2YR" hidden="1">"c4426"</definedName>
    <definedName name="IQ_EST_FFO_SHARE_GROWTH_Q_1YR" hidden="1">"c4427"</definedName>
    <definedName name="IQ_EST_FFO_SHARE_SEQ_GROWTH_Q" hidden="1">"c4428"</definedName>
    <definedName name="IQ_EST_FFO_SHARE_SURPRISE_PERCENT" hidden="1">"c4453"</definedName>
    <definedName name="IQ_EST_FFO_SURPRISE_PERCENT" hidden="1">"c1870"</definedName>
    <definedName name="IQ_EST_FFO_SURPRISE_PERCENT_REUT" hidden="1">"c3891"</definedName>
    <definedName name="IQ_EST_FOOTNOTE" hidden="1">"c4540"</definedName>
    <definedName name="IQ_EST_FOOTNOTE_REUT" hidden="1">"c5478"</definedName>
    <definedName name="IQ_EST_MAINT_CAPEX_DIFF" hidden="1">"c4456"</definedName>
    <definedName name="IQ_EST_MAINT_CAPEX_GROWTH_1YR" hidden="1">"c4429"</definedName>
    <definedName name="IQ_EST_MAINT_CAPEX_GROWTH_2YR" hidden="1">"c4430"</definedName>
    <definedName name="IQ_EST_MAINT_CAPEX_GROWTH_Q_1YR" hidden="1">"c4431"</definedName>
    <definedName name="IQ_EST_MAINT_CAPEX_SEQ_GROWTH_Q" hidden="1">"c4432"</definedName>
    <definedName name="IQ_EST_MAINT_CAPEX_SURPRISE_PERCENT" hidden="1">"c4465"</definedName>
    <definedName name="IQ_EST_NAV_DIFF" hidden="1">"c1895"</definedName>
    <definedName name="IQ_EST_NAV_SHARE_SURPRISE_PERCENT" hidden="1">"c1896"</definedName>
    <definedName name="IQ_EST_NAV_SURPRISE_PERCENT" hidden="1">"c1896"</definedName>
    <definedName name="IQ_EST_NET_DEBT_DIFF" hidden="1">"c4466"</definedName>
    <definedName name="IQ_EST_NET_DEBT_SURPRISE_PERCENT" hidden="1">"c4468"</definedName>
    <definedName name="IQ_EST_NI_DIFF" hidden="1">"c1885"</definedName>
    <definedName name="IQ_EST_NI_DIFF_REUT" hidden="1">"c5423"</definedName>
    <definedName name="IQ_EST_NI_GW_DIFF" hidden="1">"c1887"</definedName>
    <definedName name="IQ_EST_NI_GW_DIFF_REUT" hidden="1">"c5425"</definedName>
    <definedName name="IQ_EST_NI_GW_SURPRISE_PERCENT" hidden="1">"c1888"</definedName>
    <definedName name="IQ_EST_NI_GW_SURPRISE_PERCENT_REUT" hidden="1">"c5426"</definedName>
    <definedName name="IQ_EST_NI_REPORT_DIFF" hidden="1">"c1889"</definedName>
    <definedName name="IQ_EST_NI_REPORT_DIFF_REUT" hidden="1">"c5427"</definedName>
    <definedName name="IQ_EST_NI_REPORT_SURPRISE_PERCENT" hidden="1">"c1890"</definedName>
    <definedName name="IQ_EST_NI_REPORT_SURPRISE_PERCENT_REUT" hidden="1">"c5428"</definedName>
    <definedName name="IQ_EST_NI_SBC_DIFF" hidden="1">"c4472"</definedName>
    <definedName name="IQ_EST_NI_SBC_GW_DIFF" hidden="1">"c4476"</definedName>
    <definedName name="IQ_EST_NI_SBC_GW_SURPRISE_PERCENT" hidden="1">"c4485"</definedName>
    <definedName name="IQ_EST_NI_SBC_SURPRISE_PERCENT" hidden="1">"c4491"</definedName>
    <definedName name="IQ_EST_NI_SURPRISE_PERCENT" hidden="1">"c1886"</definedName>
    <definedName name="IQ_EST_NI_SURPRISE_PERCENT_REUT" hidden="1">"c5424"</definedName>
    <definedName name="IQ_EST_NUM_BUY" hidden="1">"c1759"</definedName>
    <definedName name="IQ_EST_NUM_BUY_REUT" hidden="1">"c3869"</definedName>
    <definedName name="IQ_EST_NUM_HIGH_REC" hidden="1">"c5649"</definedName>
    <definedName name="IQ_EST_NUM_HIGH_REC_REUT" hidden="1">"c3870"</definedName>
    <definedName name="IQ_EST_NUM_HIGHEST_REC" hidden="1">"c5648"</definedName>
    <definedName name="IQ_EST_NUM_HIGHEST_REC_REUT" hidden="1">"c3869"</definedName>
    <definedName name="IQ_EST_NUM_HOLD" hidden="1">"c1761"</definedName>
    <definedName name="IQ_EST_NUM_HOLD_REUT" hidden="1">"c3871"</definedName>
    <definedName name="IQ_EST_NUM_LOW_REC" hidden="1">"c5651"</definedName>
    <definedName name="IQ_EST_NUM_LOW_REC_REUT" hidden="1">"c3872"</definedName>
    <definedName name="IQ_EST_NUM_LOWEST_REC" hidden="1">"c5652"</definedName>
    <definedName name="IQ_EST_NUM_LOWEST_REC_REUT" hidden="1">"c3873"</definedName>
    <definedName name="IQ_EST_NUM_NEUTRAL_REC" hidden="1">"c5650"</definedName>
    <definedName name="IQ_EST_NUM_NEUTRAL_REC_REUT" hidden="1">"c3871"</definedName>
    <definedName name="IQ_EST_NUM_NO_OPINION" hidden="1">"c1758"</definedName>
    <definedName name="IQ_EST_NUM_NO_OPINION_REUT" hidden="1">"c3868"</definedName>
    <definedName name="IQ_EST_NUM_OUTPERFORM" hidden="1">"c1760"</definedName>
    <definedName name="IQ_EST_NUM_OUTPERFORM_REUT" hidden="1">"c3870"</definedName>
    <definedName name="IQ_EST_NUM_SELL" hidden="1">"c1763"</definedName>
    <definedName name="IQ_EST_NUM_SELL_REUT" hidden="1">"c3873"</definedName>
    <definedName name="IQ_EST_NUM_UNDERPERFORM" hidden="1">"c1762"</definedName>
    <definedName name="IQ_EST_NUM_UNDERPERFORM_REUT" hidden="1">"c3872"</definedName>
    <definedName name="IQ_EST_OPER_INC_DIFF" hidden="1">"c1877"</definedName>
    <definedName name="IQ_EST_OPER_INC_DIFF_REUT" hidden="1">"c5415"</definedName>
    <definedName name="IQ_EST_OPER_INC_SURPRISE_PERCENT" hidden="1">"c1878"</definedName>
    <definedName name="IQ_EST_OPER_INC_SURPRISE_PERCENT_REUT" hidden="1">"c5416"</definedName>
    <definedName name="IQ_EST_PRE_TAX_DIFF" hidden="1">"c1879"</definedName>
    <definedName name="IQ_EST_PRE_TAX_DIFF_REUT" hidden="1">"c5417"</definedName>
    <definedName name="IQ_EST_PRE_TAX_GW_DIFF" hidden="1">"c1881"</definedName>
    <definedName name="IQ_EST_PRE_TAX_GW_DIFF_REUT" hidden="1">"c5419"</definedName>
    <definedName name="IQ_EST_PRE_TAX_GW_SURPRISE_PERCENT" hidden="1">"c1882"</definedName>
    <definedName name="IQ_EST_PRE_TAX_GW_SURPRISE_PERCENT_REUT" hidden="1">"c5420"</definedName>
    <definedName name="IQ_EST_PRE_TAX_REPORT_DIFF" hidden="1">"c1883"</definedName>
    <definedName name="IQ_EST_PRE_TAX_REPORT_DIFF_REUT" hidden="1">"c5421"</definedName>
    <definedName name="IQ_EST_PRE_TAX_REPORT_SURPRISE_PERCENT" hidden="1">"c1884"</definedName>
    <definedName name="IQ_EST_PRE_TAX_REPORT_SURPRISE_PERCENT_REUT" hidden="1">"c5422"</definedName>
    <definedName name="IQ_EST_PRE_TAX_SURPRISE_PERCENT" hidden="1">"c1880"</definedName>
    <definedName name="IQ_EST_PRE_TAX_SURPRISE_PERCENT_REUT" hidden="1">"c5418"</definedName>
    <definedName name="IQ_EST_RECURRING_PROFIT_SHARE_DIFF" hidden="1">"c4505"</definedName>
    <definedName name="IQ_EST_RECURRING_PROFIT_SHARE_SURPRISE_PERCENT" hidden="1">"c4515"</definedName>
    <definedName name="IQ_EST_REV_DIFF" hidden="1">"c1865"</definedName>
    <definedName name="IQ_EST_REV_DIFF_REUT" hidden="1">"c3886"</definedName>
    <definedName name="IQ_EST_REV_GROWTH_1YR" hidden="1">"c1638"</definedName>
    <definedName name="IQ_EST_REV_GROWTH_1YR_REUT" hidden="1">"c3860"</definedName>
    <definedName name="IQ_EST_REV_GROWTH_2YR" hidden="1">"c1639"</definedName>
    <definedName name="IQ_EST_REV_GROWTH_2YR_REUT" hidden="1">"c3861"</definedName>
    <definedName name="IQ_EST_REV_GROWTH_Q_1YR" hidden="1">"c1640"</definedName>
    <definedName name="IQ_EST_REV_GROWTH_Q_1YR_REUT" hidden="1">"c3862"</definedName>
    <definedName name="IQ_EST_REV_SEQ_GROWTH_Q" hidden="1">"c1765"</definedName>
    <definedName name="IQ_EST_REV_SEQ_GROWTH_Q_REUT" hidden="1">"c3863"</definedName>
    <definedName name="IQ_EST_REV_SURPRISE_PERCENT" hidden="1">"c1866"</definedName>
    <definedName name="IQ_EST_REV_SURPRISE_PERCENT_REUT" hidden="1">"c3887"</definedName>
    <definedName name="IQ_EST_VENDOR" hidden="1">"c5564"</definedName>
    <definedName name="IQ_EV_OVER_EMPLOYEE" hidden="1">"c1428"</definedName>
    <definedName name="IQ_EV_OVER_LTM_EBIT" hidden="1">"c1426"</definedName>
    <definedName name="IQ_EV_OVER_LTM_EBITDA" hidden="1">"c1427"</definedName>
    <definedName name="IQ_EV_OVER_LTM_REVENUE" hidden="1">"c1429"</definedName>
    <definedName name="IQ_EVAL_DATE" hidden="1">"c2180"</definedName>
    <definedName name="IQ_EXCHANGE" hidden="1">"c405"</definedName>
    <definedName name="IQ_EXCISE_TAXES_EXCL_SALES" hidden="1">"c5515"</definedName>
    <definedName name="IQ_EXCISE_TAXES_INCL_SALES" hidden="1">"c5514"</definedName>
    <definedName name="IQ_EXERCISE_PRICE" hidden="1">"c1897"</definedName>
    <definedName name="IQ_EXERCISED" hidden="1">"c406"</definedName>
    <definedName name="IQ_EXP_RETURN_PENSION_DOMESTIC" hidden="1">"c407"</definedName>
    <definedName name="IQ_EXP_RETURN_PENSION_FOREIGN" hidden="1">"c408"</definedName>
    <definedName name="IQ_EXPLORE_DRILL" hidden="1">"c409"</definedName>
    <definedName name="IQ_EXTRA_ACC_ITEMS" hidden="1">"c410"</definedName>
    <definedName name="IQ_EXTRA_ACC_ITEMS_BNK" hidden="1">"c411"</definedName>
    <definedName name="IQ_EXTRA_ACC_ITEMS_BR" hidden="1">"c412"</definedName>
    <definedName name="IQ_EXTRA_ACC_ITEMS_FIN" hidden="1">"c413"</definedName>
    <definedName name="IQ_EXTRA_ACC_ITEMS_INS" hidden="1">"c414"</definedName>
    <definedName name="IQ_EXTRA_ACC_ITEMS_RE" hidden="1">"c6216"</definedName>
    <definedName name="IQ_EXTRA_ACC_ITEMS_REIT" hidden="1">"c415"</definedName>
    <definedName name="IQ_EXTRA_ACC_ITEMS_UTI" hidden="1">"c416"</definedName>
    <definedName name="IQ_EXTRA_ITEMS" hidden="1">"c1459"</definedName>
    <definedName name="IQ_FDIC" hidden="1">"c417"</definedName>
    <definedName name="IQ_FEDFUNDS_SOLD" hidden="1">"c2256"</definedName>
    <definedName name="IQ_FFO" hidden="1">"c1574"</definedName>
    <definedName name="IQ_FFO_ACT_OR_EST" hidden="1">"c2216"</definedName>
    <definedName name="IQ_FFO_ADJ_ACT_OR_EST" hidden="1">"c4435"</definedName>
    <definedName name="IQ_FFO_ADJ_EST" hidden="1">"c4434"</definedName>
    <definedName name="IQ_FFO_ADJ_GUIDANCE" hidden="1">"c4436"</definedName>
    <definedName name="IQ_FFO_ADJ_HIGH_EST" hidden="1">"c4437"</definedName>
    <definedName name="IQ_FFO_ADJ_HIGH_GUIDANCE" hidden="1">"c4202"</definedName>
    <definedName name="IQ_FFO_ADJ_LOW_EST" hidden="1">"c4438"</definedName>
    <definedName name="IQ_FFO_ADJ_LOW_GUIDANCE" hidden="1">"c4242"</definedName>
    <definedName name="IQ_FFO_ADJ_MEDIAN_EST" hidden="1">"c4439"</definedName>
    <definedName name="IQ_FFO_ADJ_NUM_EST" hidden="1">"c4440"</definedName>
    <definedName name="IQ_FFO_ADJ_STDDEV_EST" hidden="1">"c4441"</definedName>
    <definedName name="IQ_FFO_EST" hidden="1">"c418"</definedName>
    <definedName name="IQ_FFO_EST_REUT" hidden="1">"c3837"</definedName>
    <definedName name="IQ_FFO_GUIDANCE" hidden="1">"c4443"</definedName>
    <definedName name="IQ_FFO_HIGH_EST" hidden="1">"c419"</definedName>
    <definedName name="IQ_FFO_HIGH_EST_REUT" hidden="1">"c3839"</definedName>
    <definedName name="IQ_FFO_HIGH_GUIDANCE" hidden="1">"c4184"</definedName>
    <definedName name="IQ_FFO_LOW_EST" hidden="1">"c420"</definedName>
    <definedName name="IQ_FFO_LOW_EST_REUT" hidden="1">"c3840"</definedName>
    <definedName name="IQ_FFO_LOW_GUIDANCE" hidden="1">"c4224"</definedName>
    <definedName name="IQ_FFO_MEDIAN_EST" hidden="1">"c1665"</definedName>
    <definedName name="IQ_FFO_MEDIAN_EST_REUT" hidden="1">"c3838"</definedName>
    <definedName name="IQ_FFO_NUM_EST" hidden="1">"c421"</definedName>
    <definedName name="IQ_FFO_NUM_EST_REUT" hidden="1">"c3841"</definedName>
    <definedName name="IQ_FFO_PAYOUT_RATIO" hidden="1">"c3492"</definedName>
    <definedName name="IQ_FFO_SHARE_ACT_OR_EST" hidden="1">"c4446"</definedName>
    <definedName name="IQ_FFO_SHARE_EST" hidden="1">"c4445"</definedName>
    <definedName name="IQ_FFO_SHARE_GUIDANCE" hidden="1">"c4447"</definedName>
    <definedName name="IQ_FFO_SHARE_HIGH_EST" hidden="1">"c4448"</definedName>
    <definedName name="IQ_FFO_SHARE_HIGH_GUIDANCE" hidden="1">"c4203"</definedName>
    <definedName name="IQ_FFO_SHARE_LOW_EST" hidden="1">"c4449"</definedName>
    <definedName name="IQ_FFO_SHARE_LOW_GUIDANCE" hidden="1">"c4243"</definedName>
    <definedName name="IQ_FFO_SHARE_MEDIAN_EST" hidden="1">"c4450"</definedName>
    <definedName name="IQ_FFO_SHARE_NUM_EST" hidden="1">"c4451"</definedName>
    <definedName name="IQ_FFO_SHARE_STDDEV_EST" hidden="1">"c4452"</definedName>
    <definedName name="IQ_FFO_STDDEV_EST" hidden="1">"c422"</definedName>
    <definedName name="IQ_FFO_STDDEV_EST_REUT" hidden="1">"c3842"</definedName>
    <definedName name="IQ_FH">100000</definedName>
    <definedName name="IQ_FHLB_DEBT" hidden="1">"c423"</definedName>
    <definedName name="IQ_FHLB_DUE_CY" hidden="1">"c2080"</definedName>
    <definedName name="IQ_FHLB_DUE_CY1" hidden="1">"c2081"</definedName>
    <definedName name="IQ_FHLB_DUE_CY2" hidden="1">"c2082"</definedName>
    <definedName name="IQ_FHLB_DUE_CY3" hidden="1">"c2083"</definedName>
    <definedName name="IQ_FHLB_DUE_CY4" hidden="1">"c2084"</definedName>
    <definedName name="IQ_FHLB_DUE_NEXT_FIVE" hidden="1">"c2085"</definedName>
    <definedName name="IQ_FILING_CURRENCY" hidden="1">"c2129"</definedName>
    <definedName name="IQ_FILINGDATE_BS" hidden="1">"c424"</definedName>
    <definedName name="IQ_FILINGDATE_CF" hidden="1">"c425"</definedName>
    <definedName name="IQ_FILINGDATE_IS" hidden="1">"c426"</definedName>
    <definedName name="IQ_FILM_RIGHTS" hidden="1">"c2254"</definedName>
    <definedName name="IQ_FIN_DIV_ASSETS_CURRENT" hidden="1">"c427"</definedName>
    <definedName name="IQ_FIN_DIV_ASSETS_LT" hidden="1">"c428"</definedName>
    <definedName name="IQ_FIN_DIV_CURRENT_PORT_DEBT_TOTAL" hidden="1">"c5524"</definedName>
    <definedName name="IQ_FIN_DIV_CURRENT_PORT_LEASES_TOTAL" hidden="1">"c5523"</definedName>
    <definedName name="IQ_FIN_DIV_DEBT_CURRENT" hidden="1">"c429"</definedName>
    <definedName name="IQ_FIN_DIV_DEBT_LT" hidden="1">"c430"</definedName>
    <definedName name="IQ_FIN_DIV_DEBT_LT_TOTAL" hidden="1">"c5526"</definedName>
    <definedName name="IQ_FIN_DIV_DEBT_TOTAL" hidden="1">"c5656"</definedName>
    <definedName name="IQ_FIN_DIV_EXP" hidden="1">"c431"</definedName>
    <definedName name="IQ_FIN_DIV_INT_EXP" hidden="1">"c432"</definedName>
    <definedName name="IQ_FIN_DIV_LEASES_LT_TOTAL" hidden="1">"c5525"</definedName>
    <definedName name="IQ_FIN_DIV_LIAB_CURRENT" hidden="1">"c433"</definedName>
    <definedName name="IQ_FIN_DIV_LIAB_LT" hidden="1">"c434"</definedName>
    <definedName name="IQ_FIN_DIV_LOANS_CURRENT" hidden="1">"c435"</definedName>
    <definedName name="IQ_FIN_DIV_LOANS_LT" hidden="1">"c436"</definedName>
    <definedName name="IQ_FIN_DIV_LT_DEBT_TOTAL" hidden="1">"c5655"</definedName>
    <definedName name="IQ_FIN_DIV_NOTES_PAY_TOTAL" hidden="1">"c5522"</definedName>
    <definedName name="IQ_FIN_DIV_REV" hidden="1">"c437"</definedName>
    <definedName name="IQ_FIN_DIV_ST_DEBT_TOTAL" hidden="1">"c5527"</definedName>
    <definedName name="IQ_FINANCING_CASH" hidden="1">"c1405"</definedName>
    <definedName name="IQ_FINANCING_CASH_SUPPL" hidden="1">"c1406"</definedName>
    <definedName name="IQ_FINANCING_OBLIG_CURRENT" hidden="1">"c6190"</definedName>
    <definedName name="IQ_FINANCING_OBLIG_NON_CURRENT" hidden="1">"c6191"</definedName>
    <definedName name="IQ_FINISHED_INV" hidden="1">"c438"</definedName>
    <definedName name="IQ_FIRST_INT_DATE" hidden="1">"c2186"</definedName>
    <definedName name="IQ_FIRST_YEAR_LIFE" hidden="1">"c439"</definedName>
    <definedName name="IQ_FIRST_YEAR_LIFE_PREM" hidden="1">"c2787"</definedName>
    <definedName name="IQ_FIRST_YEAR_PREM" hidden="1">"c2786"</definedName>
    <definedName name="IQ_FIRSTPRICINGDATE" hidden="1">"c3050"</definedName>
    <definedName name="IQ_FISCAL_Q" hidden="1">"c440"</definedName>
    <definedName name="IQ_FISCAL_Y" hidden="1">"c441"</definedName>
    <definedName name="IQ_FIVE_PERCENT_OWNER" hidden="1">"c442"</definedName>
    <definedName name="IQ_FIVEPERCENT_PERCENT" hidden="1">"c443"</definedName>
    <definedName name="IQ_FIVEPERCENT_SHARES" hidden="1">"c444"</definedName>
    <definedName name="IQ_FIXED_ASSET_TURNS" hidden="1">"c445"</definedName>
    <definedName name="IQ_FLOAT_PERCENT" hidden="1">"c1575"</definedName>
    <definedName name="IQ_FOREIGN_DEP_IB" hidden="1">"c446"</definedName>
    <definedName name="IQ_FOREIGN_DEP_NON_IB" hidden="1">"c447"</definedName>
    <definedName name="IQ_FOREIGN_EXCHANGE" hidden="1">"c1376"</definedName>
    <definedName name="IQ_FOREIGN_LOANS" hidden="1">"c448"</definedName>
    <definedName name="IQ_FQ" hidden="1">500</definedName>
    <definedName name="IQ_FUEL" hidden="1">"c449"</definedName>
    <definedName name="IQ_FULL_TIME" hidden="1">"c450"</definedName>
    <definedName name="IQ_FWD_CY" hidden="1">10001</definedName>
    <definedName name="IQ_FWD_CY1" hidden="1">10002</definedName>
    <definedName name="IQ_FWD_CY2" hidden="1">10003</definedName>
    <definedName name="IQ_FWD_FY" hidden="1">1001</definedName>
    <definedName name="IQ_FWD_FY1" hidden="1">1002</definedName>
    <definedName name="IQ_FWD_FY2" hidden="1">1003</definedName>
    <definedName name="IQ_FWD_Q" hidden="1">501</definedName>
    <definedName name="IQ_FWD_Q1" hidden="1">502</definedName>
    <definedName name="IQ_FWD_Q2" hidden="1">503</definedName>
    <definedName name="IQ_FX" hidden="1">"c451"</definedName>
    <definedName name="IQ_FY" hidden="1">1000</definedName>
    <definedName name="IQ_GA_EXP" hidden="1">"c2241"</definedName>
    <definedName name="IQ_GAAP_IS" hidden="1">"c6194"</definedName>
    <definedName name="IQ_GAIN_ASSETS" hidden="1">"c452"</definedName>
    <definedName name="IQ_GAIN_ASSETS_BNK" hidden="1">"c453"</definedName>
    <definedName name="IQ_GAIN_ASSETS_BR" hidden="1">"c454"</definedName>
    <definedName name="IQ_GAIN_ASSETS_CF" hidden="1">"c455"</definedName>
    <definedName name="IQ_GAIN_ASSETS_CF_BNK" hidden="1">"c456"</definedName>
    <definedName name="IQ_GAIN_ASSETS_CF_BR" hidden="1">"c457"</definedName>
    <definedName name="IQ_GAIN_ASSETS_CF_FIN" hidden="1">"c458"</definedName>
    <definedName name="IQ_GAIN_ASSETS_CF_INS" hidden="1">"c459"</definedName>
    <definedName name="IQ_GAIN_ASSETS_CF_RE" hidden="1">"c6217"</definedName>
    <definedName name="IQ_GAIN_ASSETS_CF_REIT" hidden="1">"c460"</definedName>
    <definedName name="IQ_GAIN_ASSETS_CF_UTI" hidden="1">"c461"</definedName>
    <definedName name="IQ_GAIN_ASSETS_FIN" hidden="1">"c462"</definedName>
    <definedName name="IQ_GAIN_ASSETS_INS" hidden="1">"c463"</definedName>
    <definedName name="IQ_GAIN_ASSETS_RE" hidden="1">"c6218"</definedName>
    <definedName name="IQ_GAIN_ASSETS_REIT" hidden="1">"c471"</definedName>
    <definedName name="IQ_GAIN_ASSETS_REV" hidden="1">"c472"</definedName>
    <definedName name="IQ_GAIN_ASSETS_REV_BNK" hidden="1">"c473"</definedName>
    <definedName name="IQ_GAIN_ASSETS_REV_BR" hidden="1">"c474"</definedName>
    <definedName name="IQ_GAIN_ASSETS_REV_FIN" hidden="1">"c475"</definedName>
    <definedName name="IQ_GAIN_ASSETS_REV_INS" hidden="1">"c476"</definedName>
    <definedName name="IQ_GAIN_ASSETS_REV_RE" hidden="1">"c6219"</definedName>
    <definedName name="IQ_GAIN_ASSETS_REV_REIT" hidden="1">"c477"</definedName>
    <definedName name="IQ_GAIN_ASSETS_REV_UTI" hidden="1">"c478"</definedName>
    <definedName name="IQ_GAIN_ASSETS_UTI" hidden="1">"c479"</definedName>
    <definedName name="IQ_GAIN_INVEST" hidden="1">"c1463"</definedName>
    <definedName name="IQ_GAIN_INVEST_BNK" hidden="1">"c1582"</definedName>
    <definedName name="IQ_GAIN_INVEST_BR" hidden="1">"c1464"</definedName>
    <definedName name="IQ_GAIN_INVEST_CF" hidden="1">"c480"</definedName>
    <definedName name="IQ_GAIN_INVEST_CF_BNK" hidden="1">"c481"</definedName>
    <definedName name="IQ_GAIN_INVEST_CF_BR" hidden="1">"c482"</definedName>
    <definedName name="IQ_GAIN_INVEST_CF_FIN" hidden="1">"c483"</definedName>
    <definedName name="IQ_GAIN_INVEST_CF_INS" hidden="1">"c484"</definedName>
    <definedName name="IQ_GAIN_INVEST_CF_RE" hidden="1">"c6220"</definedName>
    <definedName name="IQ_GAIN_INVEST_CF_REIT" hidden="1">"c485"</definedName>
    <definedName name="IQ_GAIN_INVEST_CF_UTI" hidden="1">"c486"</definedName>
    <definedName name="IQ_GAIN_INVEST_FIN" hidden="1">"c1465"</definedName>
    <definedName name="IQ_GAIN_INVEST_INS" hidden="1">"c1466"</definedName>
    <definedName name="IQ_GAIN_INVEST_RE" hidden="1">"c6278"</definedName>
    <definedName name="IQ_GAIN_INVEST_REIT" hidden="1">"c1467"</definedName>
    <definedName name="IQ_GAIN_INVEST_REV" hidden="1">"c494"</definedName>
    <definedName name="IQ_GAIN_INVEST_REV_BNK" hidden="1">"c495"</definedName>
    <definedName name="IQ_GAIN_INVEST_REV_BR" hidden="1">"c496"</definedName>
    <definedName name="IQ_GAIN_INVEST_REV_FIN" hidden="1">"c497"</definedName>
    <definedName name="IQ_GAIN_INVEST_REV_INS" hidden="1">"c498"</definedName>
    <definedName name="IQ_GAIN_INVEST_REV_RE" hidden="1">"c6221"</definedName>
    <definedName name="IQ_GAIN_INVEST_REV_REIT" hidden="1">"c499"</definedName>
    <definedName name="IQ_GAIN_INVEST_REV_UTI" hidden="1">"c500"</definedName>
    <definedName name="IQ_GAIN_INVEST_UTI" hidden="1">"c1468"</definedName>
    <definedName name="IQ_GAIN_LOANS_REC" hidden="1">"c501"</definedName>
    <definedName name="IQ_GAIN_LOANS_RECEIV" hidden="1">"c502"</definedName>
    <definedName name="IQ_GAIN_LOANS_RECEIV_REV_FIN" hidden="1">"c503"</definedName>
    <definedName name="IQ_GAIN_LOANS_REV" hidden="1">"c504"</definedName>
    <definedName name="IQ_GAIN_SALE_ASSETS" hidden="1">"c1377"</definedName>
    <definedName name="IQ_GEO_SEG_ASSETS" hidden="1">"c4069"</definedName>
    <definedName name="IQ_GEO_SEG_ASSETS_ABS" hidden="1">"c4091"</definedName>
    <definedName name="IQ_GEO_SEG_ASSETS_TOTAL" hidden="1">"c4123"</definedName>
    <definedName name="IQ_GEO_SEG_CAPEX" hidden="1">"c4083"</definedName>
    <definedName name="IQ_GEO_SEG_CAPEX_ABS" hidden="1">"c4105"</definedName>
    <definedName name="IQ_GEO_SEG_CAPEX_TOTAL" hidden="1">"c4127"</definedName>
    <definedName name="IQ_GEO_SEG_DA" hidden="1">"c4082"</definedName>
    <definedName name="IQ_GEO_SEG_DA_ABS" hidden="1">"c4104"</definedName>
    <definedName name="IQ_GEO_SEG_DA_TOTAL" hidden="1">"c4126"</definedName>
    <definedName name="IQ_GEO_SEG_EARNINGS_OP" hidden="1">"c4073"</definedName>
    <definedName name="IQ_GEO_SEG_EARNINGS_OP_ABS" hidden="1">"c4095"</definedName>
    <definedName name="IQ_GEO_SEG_EARNINGS_OP_TOTAL" hidden="1">"c4119"</definedName>
    <definedName name="IQ_GEO_SEG_EBT" hidden="1">"c4072"</definedName>
    <definedName name="IQ_GEO_SEG_EBT_ABS" hidden="1">"c4094"</definedName>
    <definedName name="IQ_GEO_SEG_EBT_TOTAL" hidden="1">"c4121"</definedName>
    <definedName name="IQ_GEO_SEG_GP" hidden="1">"c4070"</definedName>
    <definedName name="IQ_GEO_SEG_GP_ABS" hidden="1">"c4092"</definedName>
    <definedName name="IQ_GEO_SEG_GP_TOTAL" hidden="1">"c4120"</definedName>
    <definedName name="IQ_GEO_SEG_INC_TAX" hidden="1">"c4081"</definedName>
    <definedName name="IQ_GEO_SEG_INC_TAX_ABS" hidden="1">"c4103"</definedName>
    <definedName name="IQ_GEO_SEG_INC_TAX_TOTAL" hidden="1">"c4125"</definedName>
    <definedName name="IQ_GEO_SEG_INTEREST_EXP" hidden="1">"c4080"</definedName>
    <definedName name="IQ_GEO_SEG_INTEREST_EXP_ABS" hidden="1">"c4102"</definedName>
    <definedName name="IQ_GEO_SEG_INTEREST_EXP_TOTAL" hidden="1">"c4124"</definedName>
    <definedName name="IQ_GEO_SEG_NAME" hidden="1">"c5484"</definedName>
    <definedName name="IQ_GEO_SEG_NAME_ABS" hidden="1">"c5485"</definedName>
    <definedName name="IQ_GEO_SEG_NI" hidden="1">"c4071"</definedName>
    <definedName name="IQ_GEO_SEG_NI_ABS" hidden="1">"c4093"</definedName>
    <definedName name="IQ_GEO_SEG_NI_TOTAL" hidden="1">"c4122"</definedName>
    <definedName name="IQ_GEO_SEG_OPER_INC" hidden="1">"c4075"</definedName>
    <definedName name="IQ_GEO_SEG_OPER_INC_ABS" hidden="1">"c4097"</definedName>
    <definedName name="IQ_GEO_SEG_OPER_INC_TOTAL" hidden="1">"c4118"</definedName>
    <definedName name="IQ_GEO_SEG_REV" hidden="1">"c4074"</definedName>
    <definedName name="IQ_GEO_SEG_REV_ABS" hidden="1">"c4096"</definedName>
    <definedName name="IQ_GEO_SEG_REV_TOTAL" hidden="1">"c4117"</definedName>
    <definedName name="IQ_GOODWILL_NET" hidden="1">"c1380"</definedName>
    <definedName name="IQ_GP" hidden="1">"c511"</definedName>
    <definedName name="IQ_GP_10YR_ANN_CAGR" hidden="1">"c6090"</definedName>
    <definedName name="IQ_GP_10YR_ANN_GROWTH" hidden="1">"c512"</definedName>
    <definedName name="IQ_GP_1YR_ANN_GROWTH" hidden="1">"c513"</definedName>
    <definedName name="IQ_GP_2YR_ANN_CAGR" hidden="1">"c6091"</definedName>
    <definedName name="IQ_GP_2YR_ANN_GROWTH" hidden="1">"c514"</definedName>
    <definedName name="IQ_GP_3YR_ANN_CAGR" hidden="1">"c6092"</definedName>
    <definedName name="IQ_GP_3YR_ANN_GROWTH" hidden="1">"c515"</definedName>
    <definedName name="IQ_GP_5YR_ANN_CAGR" hidden="1">"c6093"</definedName>
    <definedName name="IQ_GP_5YR_ANN_GROWTH" hidden="1">"c516"</definedName>
    <definedName name="IQ_GP_7YR_ANN_CAGR" hidden="1">"c6094"</definedName>
    <definedName name="IQ_GP_7YR_ANN_GROWTH" hidden="1">"c517"</definedName>
    <definedName name="IQ_GPPE" hidden="1">"c518"</definedName>
    <definedName name="IQ_GROSS_AH_EARNED" hidden="1">"c2742"</definedName>
    <definedName name="IQ_GROSS_CLAIM_EXP_INCUR" hidden="1">"c2755"</definedName>
    <definedName name="IQ_GROSS_CLAIM_EXP_PAID" hidden="1">"c2758"</definedName>
    <definedName name="IQ_GROSS_CLAIM_EXP_RES" hidden="1">"c2752"</definedName>
    <definedName name="IQ_GROSS_DIVID" hidden="1">"c1446"</definedName>
    <definedName name="IQ_GROSS_EARNED" hidden="1">"c2732"</definedName>
    <definedName name="IQ_GROSS_LIFE_EARNED" hidden="1">"c2737"</definedName>
    <definedName name="IQ_GROSS_LIFE_IN_FORCE" hidden="1">"c2767"</definedName>
    <definedName name="IQ_GROSS_LOANS" hidden="1">"c521"</definedName>
    <definedName name="IQ_GROSS_LOANS_10YR_ANN_CAGR" hidden="1">"c6095"</definedName>
    <definedName name="IQ_GROSS_LOANS_10YR_ANN_GROWTH" hidden="1">"c522"</definedName>
    <definedName name="IQ_GROSS_LOANS_1YR_ANN_GROWTH" hidden="1">"c523"</definedName>
    <definedName name="IQ_GROSS_LOANS_2YR_ANN_CAGR" hidden="1">"c6096"</definedName>
    <definedName name="IQ_GROSS_LOANS_2YR_ANN_GROWTH" hidden="1">"c524"</definedName>
    <definedName name="IQ_GROSS_LOANS_3YR_ANN_CAGR" hidden="1">"c6097"</definedName>
    <definedName name="IQ_GROSS_LOANS_3YR_ANN_GROWTH" hidden="1">"c525"</definedName>
    <definedName name="IQ_GROSS_LOANS_5YR_ANN_CAGR" hidden="1">"c6098"</definedName>
    <definedName name="IQ_GROSS_LOANS_5YR_ANN_GROWTH" hidden="1">"c526"</definedName>
    <definedName name="IQ_GROSS_LOANS_7YR_ANN_CAGR" hidden="1">"c6099"</definedName>
    <definedName name="IQ_GROSS_LOANS_7YR_ANN_GROWTH" hidden="1">"c527"</definedName>
    <definedName name="IQ_GROSS_LOANS_TOTAL_DEPOSITS" hidden="1">"c528"</definedName>
    <definedName name="IQ_GROSS_MARGIN" hidden="1">"c529"</definedName>
    <definedName name="IQ_GROSS_MARGIN_ACT_OR_EST" hidden="1">"c5554"</definedName>
    <definedName name="IQ_GROSS_MARGIN_EST" hidden="1">"c5547"</definedName>
    <definedName name="IQ_GROSS_MARGIN_HIGH_EST" hidden="1">"c5549"</definedName>
    <definedName name="IQ_GROSS_MARGIN_LOW_EST" hidden="1">"c5550"</definedName>
    <definedName name="IQ_GROSS_MARGIN_MEDIAN_EST" hidden="1">"c5548"</definedName>
    <definedName name="IQ_GROSS_MARGIN_NUM_EST" hidden="1">"c5551"</definedName>
    <definedName name="IQ_GROSS_MARGIN_STDDEV_EST" hidden="1">"c5552"</definedName>
    <definedName name="IQ_GROSS_PC_EARNED" hidden="1">"c2747"</definedName>
    <definedName name="IQ_GROSS_PROFIT" hidden="1">"c1378"</definedName>
    <definedName name="IQ_GROSS_SPRD" hidden="1">"c2155"</definedName>
    <definedName name="IQ_GROSS_WRITTEN" hidden="1">"c2726"</definedName>
    <definedName name="IQ_GW" hidden="1">"c530"</definedName>
    <definedName name="IQ_GW_AMORT_BR" hidden="1">"c532"</definedName>
    <definedName name="IQ_GW_AMORT_FIN" hidden="1">"c540"</definedName>
    <definedName name="IQ_GW_AMORT_INS" hidden="1">"c541"</definedName>
    <definedName name="IQ_GW_AMORT_REIT" hidden="1">"c542"</definedName>
    <definedName name="IQ_GW_AMORT_UTI" hidden="1">"c543"</definedName>
    <definedName name="IQ_GW_INTAN_AMORT" hidden="1">"c1469"</definedName>
    <definedName name="IQ_GW_INTAN_AMORT_BNK" hidden="1">"c544"</definedName>
    <definedName name="IQ_GW_INTAN_AMORT_BR" hidden="1">"c1470"</definedName>
    <definedName name="IQ_GW_INTAN_AMORT_CF" hidden="1">"c1471"</definedName>
    <definedName name="IQ_GW_INTAN_AMORT_CF_BNK" hidden="1">"c1472"</definedName>
    <definedName name="IQ_GW_INTAN_AMORT_CF_BR" hidden="1">"c1473"</definedName>
    <definedName name="IQ_GW_INTAN_AMORT_CF_FIN" hidden="1">"c1474"</definedName>
    <definedName name="IQ_GW_INTAN_AMORT_CF_INS" hidden="1">"c1475"</definedName>
    <definedName name="IQ_GW_INTAN_AMORT_CF_RE" hidden="1">"c6279"</definedName>
    <definedName name="IQ_GW_INTAN_AMORT_CF_REIT" hidden="1">"c1476"</definedName>
    <definedName name="IQ_GW_INTAN_AMORT_CF_UTI" hidden="1">"c1477"</definedName>
    <definedName name="IQ_GW_INTAN_AMORT_FIN" hidden="1">"c1478"</definedName>
    <definedName name="IQ_GW_INTAN_AMORT_INS" hidden="1">"c1479"</definedName>
    <definedName name="IQ_GW_INTAN_AMORT_RE" hidden="1">"c6280"</definedName>
    <definedName name="IQ_GW_INTAN_AMORT_REIT" hidden="1">"c1480"</definedName>
    <definedName name="IQ_GW_INTAN_AMORT_UTI" hidden="1">"c1481"</definedName>
    <definedName name="IQ_HC_ADMISSIONS" hidden="1">"c5953"</definedName>
    <definedName name="IQ_HC_ADMISSIONS_GROWTH" hidden="1">"c5997"</definedName>
    <definedName name="IQ_HC_ADMISSIONS_MANAGED_CARE" hidden="1">"c5956"</definedName>
    <definedName name="IQ_HC_ADMISSIONS_MEDICAID" hidden="1">"c5955"</definedName>
    <definedName name="IQ_HC_ADMISSIONS_MEDICARE" hidden="1">"c5954"</definedName>
    <definedName name="IQ_HC_ADMISSIONS_OTHER" hidden="1">"c5957"</definedName>
    <definedName name="IQ_HC_ADMISSIONS_SF" hidden="1">"c6006"</definedName>
    <definedName name="IQ_HC_ALFS" hidden="1">"c5952"</definedName>
    <definedName name="IQ_HC_AVG_BEDS_SVC" hidden="1">"c5951"</definedName>
    <definedName name="IQ_HC_AVG_DAILY_CENSUS" hidden="1">"c5965"</definedName>
    <definedName name="IQ_HC_AVG_LICENSED_BEDS" hidden="1">"c5949"</definedName>
    <definedName name="IQ_HC_AVG_LICENSED_BEDS_SF" hidden="1">"c6004"</definedName>
    <definedName name="IQ_HC_AVG_STAY" hidden="1">"c5966"</definedName>
    <definedName name="IQ_HC_AVG_STAY_SF" hidden="1">"c6016"</definedName>
    <definedName name="IQ_HC_BEDS_SVC" hidden="1">"c5950"</definedName>
    <definedName name="IQ_HC_DAYS_REV_OUT" hidden="1">"c5993"</definedName>
    <definedName name="IQ_HC_EQUIV_ADMISSIONS_GROWTH" hidden="1">"c5998"</definedName>
    <definedName name="IQ_HC_EQUIVALENT_ADMISSIONS" hidden="1">"c5958"</definedName>
    <definedName name="IQ_HC_EQUIVALENT_ADMISSIONS_SF" hidden="1">"c6007"</definedName>
    <definedName name="IQ_HC_ER_VISITS" hidden="1">"c5964"</definedName>
    <definedName name="IQ_HC_ER_VISITS_SF" hidden="1">"c6017"</definedName>
    <definedName name="IQ_HC_GROSS_INPATIENT_REV" hidden="1">"c5987"</definedName>
    <definedName name="IQ_HC_GROSS_OUTPATIENT_REV" hidden="1">"c5988"</definedName>
    <definedName name="IQ_HC_GROSS_PATIENT_REV" hidden="1">"c5989"</definedName>
    <definedName name="IQ_HC_HOSP_FACILITIES_CONSOL" hidden="1">"c5945"</definedName>
    <definedName name="IQ_HC_HOSP_FACILITIES_CONSOL_SF" hidden="1">"c6000"</definedName>
    <definedName name="IQ_HC_HOSP_FACILITIES_NON_CONSOL" hidden="1">"c5946"</definedName>
    <definedName name="IQ_HC_HOSP_FACILITIES_NON_CONSOL_SF" hidden="1">"c6001"</definedName>
    <definedName name="IQ_HC_HOSP_FACILITIES_TOTAL" hidden="1">"c5947"</definedName>
    <definedName name="IQ_HC_HOSP_FACILITIES_TOTAL_SF" hidden="1">"c6002"</definedName>
    <definedName name="IQ_HC_INPATIENT_PROCEDURES" hidden="1">"c5961"</definedName>
    <definedName name="IQ_HC_INPATIENT_PROCEDURES_SF" hidden="1">"c6011"</definedName>
    <definedName name="IQ_HC_INPATIENT_REV_PER_ADMISSION" hidden="1">"c5994"</definedName>
    <definedName name="IQ_HC_INTPATIENT_SVCS_PCT_REV" hidden="1">"c5975"</definedName>
    <definedName name="IQ_HC_INTPATIENT_SVCS_PCT_REV_SF" hidden="1">"c6015"</definedName>
    <definedName name="IQ_HC_LICENSED_BEDS" hidden="1">"c5948"</definedName>
    <definedName name="IQ_HC_LICENSED_BEDS_SF" hidden="1">"c6003"</definedName>
    <definedName name="IQ_HC_MANAGED_CARE_PCT_ADMISSIONS" hidden="1">"c5982"</definedName>
    <definedName name="IQ_HC_MANAGED_CARE_PCT_REV" hidden="1">"c5978"</definedName>
    <definedName name="IQ_HC_MEDICAID_PCT_ADMISSIONS" hidden="1">"c5981"</definedName>
    <definedName name="IQ_HC_MEDICAID_PCT_REV" hidden="1">"c5977"</definedName>
    <definedName name="IQ_HC_MEDICARE_PCT_ADMISSIONS" hidden="1">"c5980"</definedName>
    <definedName name="IQ_HC_MEDICARE_PCT_REV" hidden="1">"c5976"</definedName>
    <definedName name="IQ_HC_NET_INPATIENT_REV" hidden="1">"c5984"</definedName>
    <definedName name="IQ_HC_NET_OUTPATIENT_REV" hidden="1">"c5985"</definedName>
    <definedName name="IQ_HC_NET_PATIENT_REV" hidden="1">"c5986"</definedName>
    <definedName name="IQ_HC_NET_PATIENT_REV_SF" hidden="1">"c6005"</definedName>
    <definedName name="IQ_HC_OCC_RATE" hidden="1">"c5967"</definedName>
    <definedName name="IQ_HC_OCC_RATE_LICENSED_BEDS" hidden="1">"c5968"</definedName>
    <definedName name="IQ_HC_OCC_RATE_SF" hidden="1">"c6009"</definedName>
    <definedName name="IQ_HC_OPEX_SUPPLIES" hidden="1">"c5990"</definedName>
    <definedName name="IQ_HC_OTHER_OPEX_PCT_REV" hidden="1">"c5973"</definedName>
    <definedName name="IQ_HC_OUTPATIENT_PROCEDURES" hidden="1">"c5962"</definedName>
    <definedName name="IQ_HC_OUTPATIENT_PROCEDURES_SF" hidden="1">"c6012"</definedName>
    <definedName name="IQ_HC_OUTPATIENT_REV_PER_ADMISSION" hidden="1">"c5995"</definedName>
    <definedName name="IQ_HC_OUTPATIENT_SVCS_PCT_REV" hidden="1">"c5974"</definedName>
    <definedName name="IQ_HC_OUTPATIENT_SVCS_PCT_REV_SF" hidden="1">"c6014"</definedName>
    <definedName name="IQ_HC_PATIENT_DAYS" hidden="1">"c5960"</definedName>
    <definedName name="IQ_HC_PATIENT_DAYS_SF" hidden="1">"c6010"</definedName>
    <definedName name="IQ_HC_PROF_GEN_LIAB_CLAIM_PAID" hidden="1">"c5991"</definedName>
    <definedName name="IQ_HC_PROF_GEN_LIAB_EXP_BENEFIT" hidden="1">"c5992"</definedName>
    <definedName name="IQ_HC_PROVISION_DOUBTFUL_PCT_REV" hidden="1">"c5972"</definedName>
    <definedName name="IQ_HC_REV_GROWTH" hidden="1">"c5996"</definedName>
    <definedName name="IQ_HC_REV_PER_EQUIV_ADMISSION" hidden="1">"c5959"</definedName>
    <definedName name="IQ_HC_REV_PER_EQUIV_ADMISSION_SF" hidden="1">"c6008"</definedName>
    <definedName name="IQ_HC_REV_PER_EQUIV_ADMISSIONS_GROWTH" hidden="1">"c5999"</definedName>
    <definedName name="IQ_HC_REV_PER_PATIENT_DAY" hidden="1">"c5969"</definedName>
    <definedName name="IQ_HC_REV_PER_PATIENT_DAY_SF" hidden="1">"c6018"</definedName>
    <definedName name="IQ_HC_SALARIES_PCT_REV" hidden="1">"c5970"</definedName>
    <definedName name="IQ_HC_SUPPLIES_PCT_REV" hidden="1">"c5971"</definedName>
    <definedName name="IQ_HC_TOTAL_PROCEDURES" hidden="1">"c5963"</definedName>
    <definedName name="IQ_HC_TOTAL_PROCEDURES_SF" hidden="1">"c6013"</definedName>
    <definedName name="IQ_HC_UNINSURED_PCT_ADMISSIONS" hidden="1">"c5983"</definedName>
    <definedName name="IQ_HC_UNINSURED_PCT_REV" hidden="1">"c5979"</definedName>
    <definedName name="IQ_HIGH_TARGET_PRICE" hidden="1">"c1651"</definedName>
    <definedName name="IQ_HIGH_TARGET_PRICE_REUT" hidden="1">"c5317"</definedName>
    <definedName name="IQ_HIGHPRICE" hidden="1">"c545"</definedName>
    <definedName name="IQ_HOME_AVG_LOAN_SIZE" hidden="1">"c5911"</definedName>
    <definedName name="IQ_HOME_BACKLOG" hidden="1">"c5844"</definedName>
    <definedName name="IQ_HOME_BACKLOG_AVG_JV" hidden="1">"c5848"</definedName>
    <definedName name="IQ_HOME_BACKLOG_AVG_JV_GROWTH" hidden="1">"c5928"</definedName>
    <definedName name="IQ_HOME_BACKLOG_AVG_JV_INC" hidden="1">"c5851"</definedName>
    <definedName name="IQ_HOME_BACKLOG_AVG_JV_INC_GROWTH" hidden="1">"c5931"</definedName>
    <definedName name="IQ_HOME_BACKLOG_AVG_PRICE" hidden="1">"c5845"</definedName>
    <definedName name="IQ_HOME_BACKLOG_AVG_PRICE_GROWTH" hidden="1">"c5925"</definedName>
    <definedName name="IQ_HOME_BACKLOG_GROWTH" hidden="1">"c5924"</definedName>
    <definedName name="IQ_HOME_BACKLOG_JV" hidden="1">"c5847"</definedName>
    <definedName name="IQ_HOME_BACKLOG_JV_GROWTH" hidden="1">"c5927"</definedName>
    <definedName name="IQ_HOME_BACKLOG_JV_INC" hidden="1">"c5850"</definedName>
    <definedName name="IQ_HOME_BACKLOG_JV_INC_GROWTH" hidden="1">"c5930"</definedName>
    <definedName name="IQ_HOME_BACKLOG_VALUE" hidden="1">"c5846"</definedName>
    <definedName name="IQ_HOME_BACKLOG_VALUE_GROWTH" hidden="1">"c5926"</definedName>
    <definedName name="IQ_HOME_BACKLOG_VALUE_JV" hidden="1">"c5849"</definedName>
    <definedName name="IQ_HOME_BACKLOG_VALUE_JV_GROWTH" hidden="1">"c5929"</definedName>
    <definedName name="IQ_HOME_BACKLOG_VALUE_JV_INC" hidden="1">"c5852"</definedName>
    <definedName name="IQ_HOME_BACKLOG_VALUE_JV_INC_GROWTH" hidden="1">"c5932"</definedName>
    <definedName name="IQ_HOME_COMMUNITIES_ACTIVE" hidden="1">"c5862"</definedName>
    <definedName name="IQ_HOME_COMMUNITIES_ACTIVE_GROWTH" hidden="1">"c5942"</definedName>
    <definedName name="IQ_HOME_COMMUNITIES_ACTIVE_JV" hidden="1">"c5863"</definedName>
    <definedName name="IQ_HOME_COMMUNITIES_ACTIVE_JV_GROWTH" hidden="1">"c5943"</definedName>
    <definedName name="IQ_HOME_COMMUNITIES_ACTIVE_JV_INC" hidden="1">"c5864"</definedName>
    <definedName name="IQ_HOME_COMMUNITIES_ACTIVE_JV_INC_GROWTH" hidden="1">"c5944"</definedName>
    <definedName name="IQ_HOME_COST_CONSTRUCTION_SVCS" hidden="1">"c5882"</definedName>
    <definedName name="IQ_HOME_COST_ELIMINATIONS_OTHER" hidden="1">"c5883"</definedName>
    <definedName name="IQ_HOME_COST_FINANCIAL_SVCS" hidden="1">"c5881"</definedName>
    <definedName name="IQ_HOME_COST_HOUSING" hidden="1">"c5877"</definedName>
    <definedName name="IQ_HOME_COST_LAND_LOT" hidden="1">"c5878"</definedName>
    <definedName name="IQ_HOME_COST_OTHER_HOMEBUILDING" hidden="1">"c5879"</definedName>
    <definedName name="IQ_HOME_COST_TOTAL" hidden="1">"c5884"</definedName>
    <definedName name="IQ_HOME_COST_TOTAL_HOMEBUILDING" hidden="1">"c5880"</definedName>
    <definedName name="IQ_HOME_DELIVERED" hidden="1">"c5835"</definedName>
    <definedName name="IQ_HOME_DELIVERED_AVG_PRICE" hidden="1">"c5836"</definedName>
    <definedName name="IQ_HOME_DELIVERED_AVG_PRICE_GROWTH" hidden="1">"c5916"</definedName>
    <definedName name="IQ_HOME_DELIVERED_AVG_PRICE_JV" hidden="1">"c5839"</definedName>
    <definedName name="IQ_HOME_DELIVERED_AVG_PRICE_JV_GROWTH" hidden="1">"c5919"</definedName>
    <definedName name="IQ_HOME_DELIVERED_AVG_PRICE_JV_INC" hidden="1">"c5842"</definedName>
    <definedName name="IQ_HOME_DELIVERED_AVG_PRICE_JV_INC_GROWTH" hidden="1">"c5922"</definedName>
    <definedName name="IQ_HOME_DELIVERED_GROWTH" hidden="1">"c5915"</definedName>
    <definedName name="IQ_HOME_DELIVERED_JV" hidden="1">"c5838"</definedName>
    <definedName name="IQ_HOME_DELIVERED_JV_GROWTH" hidden="1">"c5918"</definedName>
    <definedName name="IQ_HOME_DELIVERED_JV_INC" hidden="1">"c5841"</definedName>
    <definedName name="IQ_HOME_DELIVERED_JV_INC_GROWTH" hidden="1">"c5921"</definedName>
    <definedName name="IQ_HOME_DELIVERED_VALUE" hidden="1">"c5837"</definedName>
    <definedName name="IQ_HOME_DELIVERED_VALUE_GROWTH" hidden="1">"c5917"</definedName>
    <definedName name="IQ_HOME_DELIVERED_VALUE_JV" hidden="1">"c5840"</definedName>
    <definedName name="IQ_HOME_DELIVERED_VALUE_JV_GROWTH" hidden="1">"c5920"</definedName>
    <definedName name="IQ_HOME_DELIVERED_VALUE_JV_INC" hidden="1">"c5843"</definedName>
    <definedName name="IQ_HOME_DELIVERED_VALUE_JV_INC_GROWTH" hidden="1">"c5923"</definedName>
    <definedName name="IQ_HOME_FINISHED_HOMES_CIP" hidden="1">"c5865"</definedName>
    <definedName name="IQ_HOME_FIRSTLIEN_MORT_ORIGINATED" hidden="1">"c5905"</definedName>
    <definedName name="IQ_HOME_FIRSTLIEN_MORT_ORIGINATED_VOL" hidden="1">"c5908"</definedName>
    <definedName name="IQ_HOME_HUC" hidden="1">"c5822"</definedName>
    <definedName name="IQ_HOME_HUC_JV" hidden="1">"c5823"</definedName>
    <definedName name="IQ_HOME_HUC_JV_INC" hidden="1">"c5824"</definedName>
    <definedName name="IQ_HOME_INV_NOT_OWNED" hidden="1">"c5868"</definedName>
    <definedName name="IQ_HOME_LAND_DEVELOPMENT" hidden="1">"c5866"</definedName>
    <definedName name="IQ_HOME_LAND_FUTURE_DEVELOPMENT" hidden="1">"c5867"</definedName>
    <definedName name="IQ_HOME_LOAN_APPLICATIONS" hidden="1">"c5910"</definedName>
    <definedName name="IQ_HOME_LOANS_SOLD_COUNT" hidden="1">"c5912"</definedName>
    <definedName name="IQ_HOME_LOANS_SOLD_VALUE" hidden="1">"c5913"</definedName>
    <definedName name="IQ_HOME_LOTS_CONTROLLED" hidden="1">"c5831"</definedName>
    <definedName name="IQ_HOME_LOTS_FINISHED" hidden="1">"c5827"</definedName>
    <definedName name="IQ_HOME_LOTS_HELD_SALE" hidden="1">"c5830"</definedName>
    <definedName name="IQ_HOME_LOTS_JV" hidden="1">"c5833"</definedName>
    <definedName name="IQ_HOME_LOTS_JV_INC" hidden="1">"c5834"</definedName>
    <definedName name="IQ_HOME_LOTS_OTHER" hidden="1">"c5832"</definedName>
    <definedName name="IQ_HOME_LOTS_OWNED" hidden="1">"c5828"</definedName>
    <definedName name="IQ_HOME_LOTS_UNDER_DEVELOPMENT" hidden="1">"c5826"</definedName>
    <definedName name="IQ_HOME_LOTS_UNDER_OPTION" hidden="1">"c5829"</definedName>
    <definedName name="IQ_HOME_LOTS_UNDEVELOPED" hidden="1">"c5825"</definedName>
    <definedName name="IQ_HOME_MORT_CAPTURE_RATE" hidden="1">"c5906"</definedName>
    <definedName name="IQ_HOME_MORT_ORIGINATED" hidden="1">"c5907"</definedName>
    <definedName name="IQ_HOME_OBLIGATIONS_INV_NOT_OWNED" hidden="1">"c5914"</definedName>
    <definedName name="IQ_HOME_ORDERS" hidden="1">"c5853"</definedName>
    <definedName name="IQ_HOME_ORDERS_AVG_PRICE" hidden="1">"c5854"</definedName>
    <definedName name="IQ_HOME_ORDERS_AVG_PRICE_GROWTH" hidden="1">"c5934"</definedName>
    <definedName name="IQ_HOME_ORDERS_AVG_PRICE_JV" hidden="1">"c5857"</definedName>
    <definedName name="IQ_HOME_ORDERS_AVG_PRICE_JV_GROWTH" hidden="1">"c5937"</definedName>
    <definedName name="IQ_HOME_ORDERS_AVG_PRICE_JV_INC" hidden="1">"c5860"</definedName>
    <definedName name="IQ_HOME_ORDERS_AVG_PRICE_JV_INC_GROWTH" hidden="1">"c5940"</definedName>
    <definedName name="IQ_HOME_ORDERS_GROWTH" hidden="1">"c5933"</definedName>
    <definedName name="IQ_HOME_ORDERS_JV" hidden="1">"c5856"</definedName>
    <definedName name="IQ_HOME_ORDERS_JV_GROWTH" hidden="1">"c5936"</definedName>
    <definedName name="IQ_HOME_ORDERS_JV_INC" hidden="1">"c5859"</definedName>
    <definedName name="IQ_HOME_ORDERS_JV_INC_GROWTH" hidden="1">"c5939"</definedName>
    <definedName name="IQ_HOME_ORDERS_VALUE" hidden="1">"c5855"</definedName>
    <definedName name="IQ_HOME_ORDERS_VALUE_GROWTH" hidden="1">"c5935"</definedName>
    <definedName name="IQ_HOME_ORDERS_VALUE_JV" hidden="1">"c5858"</definedName>
    <definedName name="IQ_HOME_ORDERS_VALUE_JV_GROWTH" hidden="1">"c5938"</definedName>
    <definedName name="IQ_HOME_ORDERS_VALUE_JV_INC" hidden="1">"c5861"</definedName>
    <definedName name="IQ_HOME_ORDERS_VALUE_JV_INC_GROWTH" hidden="1">"c5941"</definedName>
    <definedName name="IQ_HOME_ORIGINATION_TOTAL" hidden="1">"c5909"</definedName>
    <definedName name="IQ_HOME_PRETAX_INC_CONSTRUCTION_SVCS" hidden="1">"c5890"</definedName>
    <definedName name="IQ_HOME_PRETAX_INC_ELIMINATIONS_OTHER" hidden="1">"c5891"</definedName>
    <definedName name="IQ_HOME_PRETAX_INC_FINANCIAL_SVCS" hidden="1">"c5889"</definedName>
    <definedName name="IQ_HOME_PRETAX_INC_HOUSING" hidden="1">"c5885"</definedName>
    <definedName name="IQ_HOME_PRETAX_INC_LAND_LOT" hidden="1">"c5886"</definedName>
    <definedName name="IQ_HOME_PRETAX_INC_OTHER_HOMEBUILDING" hidden="1">"c5887"</definedName>
    <definedName name="IQ_HOME_PRETAX_INC_TOTAL" hidden="1">"c5892"</definedName>
    <definedName name="IQ_HOME_PRETAX_INC_TOTAL_HOMEBUILDING" hidden="1">"c5888"</definedName>
    <definedName name="IQ_HOME_PURCH_OBLIGATION_1YR" hidden="1">"c5898"</definedName>
    <definedName name="IQ_HOME_PURCH_OBLIGATION_2YR" hidden="1">"c5899"</definedName>
    <definedName name="IQ_HOME_PURCH_OBLIGATION_3YR" hidden="1">"c5900"</definedName>
    <definedName name="IQ_HOME_PURCH_OBLIGATION_4YR" hidden="1">"c5901"</definedName>
    <definedName name="IQ_HOME_PURCH_OBLIGATION_5YR" hidden="1">"c5902"</definedName>
    <definedName name="IQ_HOME_PURCH_OBLIGATION_AFTER5" hidden="1">"c5903"</definedName>
    <definedName name="IQ_HOME_PURCH_OBLIGATION_TOTAL" hidden="1">"c5904"</definedName>
    <definedName name="IQ_HOME_REV_CONSTRUCTION_SERVICES" hidden="1">"c5874"</definedName>
    <definedName name="IQ_HOME_REV_ELIMINATIONS_OTHER" hidden="1">"c5875"</definedName>
    <definedName name="IQ_HOME_REV_FINANCIAL_SERVICES" hidden="1">"c5873"</definedName>
    <definedName name="IQ_HOME_REV_HOUSING" hidden="1">"c5872"</definedName>
    <definedName name="IQ_HOME_REV_LAND_LOT" hidden="1">"c5870"</definedName>
    <definedName name="IQ_HOME_REV_OTHER_HOMEBUILDING" hidden="1">"c5871"</definedName>
    <definedName name="IQ_HOME_REV_TOTAL" hidden="1">"c5876"</definedName>
    <definedName name="IQ_HOME_TOTAL_INV" hidden="1">"c5869"</definedName>
    <definedName name="IQ_HOME_WARRANTY_RES_BEG" hidden="1">"c5893"</definedName>
    <definedName name="IQ_HOME_WARRANTY_RES_END" hidden="1">"c5897"</definedName>
    <definedName name="IQ_HOME_WARRANTY_RES_ISS" hidden="1">"c5894"</definedName>
    <definedName name="IQ_HOME_WARRANTY_RES_OTHER" hidden="1">"c5896"</definedName>
    <definedName name="IQ_HOME_WARRANTY_RES_PAY" hidden="1">"c5895"</definedName>
    <definedName name="IQ_HOMEOWNERS_WRITTEN" hidden="1">"c546"</definedName>
    <definedName name="IQ_IMPAIR_OIL" hidden="1">"c547"</definedName>
    <definedName name="IQ_IMPAIRMENT_GW" hidden="1">"c548"</definedName>
    <definedName name="IQ_IMPUT_OPER_LEASE_DEPR" hidden="1">"c2987"</definedName>
    <definedName name="IQ_IMPUT_OPER_LEASE_INT_EXP" hidden="1">"c2986"</definedName>
    <definedName name="IQ_INC_AFTER_TAX" hidden="1">"c1598"</definedName>
    <definedName name="IQ_INC_AVAIL_EXCL" hidden="1">"c1395"</definedName>
    <definedName name="IQ_INC_AVAIL_INCL" hidden="1">"c1396"</definedName>
    <definedName name="IQ_INC_BEFORE_TAX" hidden="1">"c1375"</definedName>
    <definedName name="IQ_INC_EQUITY" hidden="1">"c549"</definedName>
    <definedName name="IQ_INC_EQUITY_BR" hidden="1">"c550"</definedName>
    <definedName name="IQ_INC_EQUITY_CF" hidden="1">"c551"</definedName>
    <definedName name="IQ_INC_EQUITY_FIN" hidden="1">"c552"</definedName>
    <definedName name="IQ_INC_EQUITY_INS" hidden="1">"c553"</definedName>
    <definedName name="IQ_INC_EQUITY_RE" hidden="1">"c6222"</definedName>
    <definedName name="IQ_INC_EQUITY_REC_BNK" hidden="1">"c554"</definedName>
    <definedName name="IQ_INC_EQUITY_REIT" hidden="1">"c555"</definedName>
    <definedName name="IQ_INC_EQUITY_REV_BNK" hidden="1">"c556"</definedName>
    <definedName name="IQ_INC_EQUITY_UTI" hidden="1">"c557"</definedName>
    <definedName name="IQ_INC_REAL_ESTATE_REC" hidden="1">"c558"</definedName>
    <definedName name="IQ_INC_REAL_ESTATE_REV" hidden="1">"c559"</definedName>
    <definedName name="IQ_INC_TAX" hidden="1">"c560"</definedName>
    <definedName name="IQ_INC_TAX_EXCL" hidden="1">"c1599"</definedName>
    <definedName name="IQ_INC_TAX_PAY_CURRENT" hidden="1">"c561"</definedName>
    <definedName name="IQ_INC_TRADE_ACT" hidden="1">"c562"</definedName>
    <definedName name="IQ_INDUSTRY" hidden="1">"c3601"</definedName>
    <definedName name="IQ_INDUSTRY_GROUP" hidden="1">"c3602"</definedName>
    <definedName name="IQ_INDUSTRY_SECTOR" hidden="1">"c3603"</definedName>
    <definedName name="IQ_INS_ANNUITY_LIAB" hidden="1">"c563"</definedName>
    <definedName name="IQ_INS_ANNUITY_REV" hidden="1">"c2788"</definedName>
    <definedName name="IQ_INS_DIV_EXP" hidden="1">"c564"</definedName>
    <definedName name="IQ_INS_DIV_REV" hidden="1">"c565"</definedName>
    <definedName name="IQ_INS_IN_FORCE" hidden="1">"c566"</definedName>
    <definedName name="IQ_INS_LIAB" hidden="1">"c567"</definedName>
    <definedName name="IQ_INS_POLICY_EXP" hidden="1">"c568"</definedName>
    <definedName name="IQ_INS_REV" hidden="1">"c569"</definedName>
    <definedName name="IQ_INS_SETTLE" hidden="1">"c570"</definedName>
    <definedName name="IQ_INS_SETTLE_BNK" hidden="1">"c571"</definedName>
    <definedName name="IQ_INS_SETTLE_BR" hidden="1">"c572"</definedName>
    <definedName name="IQ_INS_SETTLE_FIN" hidden="1">"c573"</definedName>
    <definedName name="IQ_INS_SETTLE_INS" hidden="1">"c574"</definedName>
    <definedName name="IQ_INS_SETTLE_RE" hidden="1">"c6223"</definedName>
    <definedName name="IQ_INS_SETTLE_REIT" hidden="1">"c575"</definedName>
    <definedName name="IQ_INS_SETTLE_UTI" hidden="1">"c576"</definedName>
    <definedName name="IQ_INSIDER_3MTH_BOUGHT_PCT" hidden="1">"c1534"</definedName>
    <definedName name="IQ_INSIDER_3MTH_NET_PCT" hidden="1">"c1535"</definedName>
    <definedName name="IQ_INSIDER_3MTH_SOLD_PCT" hidden="1">"c1533"</definedName>
    <definedName name="IQ_INSIDER_6MTH_BOUGHT_PCT" hidden="1">"c1537"</definedName>
    <definedName name="IQ_INSIDER_6MTH_NET_PCT" hidden="1">"c1538"</definedName>
    <definedName name="IQ_INSIDER_6MTH_SOLD_PCT" hidden="1">"c1536"</definedName>
    <definedName name="IQ_INSIDER_OVER_TOTAL" hidden="1">"c1581"</definedName>
    <definedName name="IQ_INSIDER_OWNER" hidden="1">"c577"</definedName>
    <definedName name="IQ_INSIDER_PERCENT" hidden="1">"c578"</definedName>
    <definedName name="IQ_INSIDER_SHARES" hidden="1">"c579"</definedName>
    <definedName name="IQ_INSTITUTIONAL_OVER_TOTAL" hidden="1">"c1580"</definedName>
    <definedName name="IQ_INSTITUTIONAL_OWNER" hidden="1">"c580"</definedName>
    <definedName name="IQ_INSTITUTIONAL_PERCENT" hidden="1">"c581"</definedName>
    <definedName name="IQ_INSTITUTIONAL_SHARES" hidden="1">"c582"</definedName>
    <definedName name="IQ_INSUR_RECEIV" hidden="1">"c1600"</definedName>
    <definedName name="IQ_INT_BORROW" hidden="1">"c583"</definedName>
    <definedName name="IQ_INT_DEPOSITS" hidden="1">"c584"</definedName>
    <definedName name="IQ_INT_DIV_INC" hidden="1">"c585"</definedName>
    <definedName name="IQ_INT_EXP_BR" hidden="1">"c586"</definedName>
    <definedName name="IQ_INT_EXP_COVERAGE" hidden="1">"c587"</definedName>
    <definedName name="IQ_INT_EXP_FIN" hidden="1">"c588"</definedName>
    <definedName name="IQ_INT_EXP_INCL_CAP" hidden="1">"c2988"</definedName>
    <definedName name="IQ_INT_EXP_INS" hidden="1">"c589"</definedName>
    <definedName name="IQ_INT_EXP_LTD" hidden="1">"c2086"</definedName>
    <definedName name="IQ_INT_EXP_RE" hidden="1">"c6224"</definedName>
    <definedName name="IQ_INT_EXP_REIT" hidden="1">"c590"</definedName>
    <definedName name="IQ_INT_EXP_TOTAL" hidden="1">"c591"</definedName>
    <definedName name="IQ_INT_EXP_UTI" hidden="1">"c592"</definedName>
    <definedName name="IQ_INT_INC_BR" hidden="1">"c593"</definedName>
    <definedName name="IQ_INT_INC_FIN" hidden="1">"c594"</definedName>
    <definedName name="IQ_INT_INC_INVEST" hidden="1">"c595"</definedName>
    <definedName name="IQ_INT_INC_LOANS" hidden="1">"c596"</definedName>
    <definedName name="IQ_INT_INC_RE" hidden="1">"c6225"</definedName>
    <definedName name="IQ_INT_INC_REIT" hidden="1">"c597"</definedName>
    <definedName name="IQ_INT_INC_TOTAL" hidden="1">"c598"</definedName>
    <definedName name="IQ_INT_INC_UTI" hidden="1">"c599"</definedName>
    <definedName name="IQ_INT_INV_INC" hidden="1">"c600"</definedName>
    <definedName name="IQ_INT_INV_INC_RE" hidden="1">"c6226"</definedName>
    <definedName name="IQ_INT_INV_INC_REIT" hidden="1">"c601"</definedName>
    <definedName name="IQ_INT_INV_INC_UTI" hidden="1">"c602"</definedName>
    <definedName name="IQ_INT_ON_BORROWING_COVERAGE" hidden="1">"c603"</definedName>
    <definedName name="IQ_INT_RATE_SPREAD" hidden="1">"c604"</definedName>
    <definedName name="IQ_INTANGIBLES_NET" hidden="1">"c1407"</definedName>
    <definedName name="IQ_INTEREST_CASH_DEPOSITS" hidden="1">"c2255"</definedName>
    <definedName name="IQ_INTEREST_EXP" hidden="1">"c618"</definedName>
    <definedName name="IQ_INTEREST_EXP_NET" hidden="1">"c1450"</definedName>
    <definedName name="IQ_INTEREST_EXP_NON" hidden="1">"c1383"</definedName>
    <definedName name="IQ_INTEREST_EXP_SUPPL" hidden="1">"c1460"</definedName>
    <definedName name="IQ_INTEREST_INC" hidden="1">"c1393"</definedName>
    <definedName name="IQ_INTEREST_INC_NON" hidden="1">"c1384"</definedName>
    <definedName name="IQ_INTEREST_INVEST_INC" hidden="1">"c619"</definedName>
    <definedName name="IQ_INV_10YR_ANN_CAGR" hidden="1">"c6164"</definedName>
    <definedName name="IQ_INV_10YR_ANN_GROWTH" hidden="1">"c1930"</definedName>
    <definedName name="IQ_INV_1YR_ANN_GROWTH" hidden="1">"c1925"</definedName>
    <definedName name="IQ_INV_2YR_ANN_CAGR" hidden="1">"c6160"</definedName>
    <definedName name="IQ_INV_2YR_ANN_GROWTH" hidden="1">"c1926"</definedName>
    <definedName name="IQ_INV_3YR_ANN_CAGR" hidden="1">"c6161"</definedName>
    <definedName name="IQ_INV_3YR_ANN_GROWTH" hidden="1">"c1927"</definedName>
    <definedName name="IQ_INV_5YR_ANN_CAGR" hidden="1">"c6162"</definedName>
    <definedName name="IQ_INV_5YR_ANN_GROWTH" hidden="1">"c1928"</definedName>
    <definedName name="IQ_INV_7YR_ANN_CAGR" hidden="1">"c6163"</definedName>
    <definedName name="IQ_INV_7YR_ANN_GROWTH" hidden="1">"c1929"</definedName>
    <definedName name="IQ_INV_BANKING_FEE" hidden="1">"c620"</definedName>
    <definedName name="IQ_INV_METHOD" hidden="1">"c621"</definedName>
    <definedName name="IQ_INVENTORY" hidden="1">"c622"</definedName>
    <definedName name="IQ_INVENTORY_TURNS" hidden="1">"c623"</definedName>
    <definedName name="IQ_INVENTORY_UTI" hidden="1">"c624"</definedName>
    <definedName name="IQ_INVEST_DEBT" hidden="1">"c625"</definedName>
    <definedName name="IQ_INVEST_EQUITY_PREF" hidden="1">"c626"</definedName>
    <definedName name="IQ_INVEST_FHLB" hidden="1">"c627"</definedName>
    <definedName name="IQ_INVEST_GOV_SECURITY" hidden="1">"c5510"</definedName>
    <definedName name="IQ_INVEST_LOANS_CF" hidden="1">"c628"</definedName>
    <definedName name="IQ_INVEST_LOANS_CF_BNK" hidden="1">"c629"</definedName>
    <definedName name="IQ_INVEST_LOANS_CF_BR" hidden="1">"c630"</definedName>
    <definedName name="IQ_INVEST_LOANS_CF_FIN" hidden="1">"c631"</definedName>
    <definedName name="IQ_INVEST_LOANS_CF_INS" hidden="1">"c632"</definedName>
    <definedName name="IQ_INVEST_LOANS_CF_RE" hidden="1">"c6227"</definedName>
    <definedName name="IQ_INVEST_LOANS_CF_REIT" hidden="1">"c633"</definedName>
    <definedName name="IQ_INVEST_LOANS_CF_UTI" hidden="1">"c634"</definedName>
    <definedName name="IQ_INVEST_MUNI_SECURITY" hidden="1">"c5512"</definedName>
    <definedName name="IQ_INVEST_REAL_ESTATE" hidden="1">"c635"</definedName>
    <definedName name="IQ_INVEST_SECURITY" hidden="1">"c636"</definedName>
    <definedName name="IQ_INVEST_SECURITY_CF" hidden="1">"c637"</definedName>
    <definedName name="IQ_INVEST_SECURITY_CF_BNK" hidden="1">"c638"</definedName>
    <definedName name="IQ_INVEST_SECURITY_CF_BR" hidden="1">"c639"</definedName>
    <definedName name="IQ_INVEST_SECURITY_CF_FIN" hidden="1">"c640"</definedName>
    <definedName name="IQ_INVEST_SECURITY_CF_INS" hidden="1">"c641"</definedName>
    <definedName name="IQ_INVEST_SECURITY_CF_RE" hidden="1">"c6228"</definedName>
    <definedName name="IQ_INVEST_SECURITY_CF_REIT" hidden="1">"c642"</definedName>
    <definedName name="IQ_INVEST_SECURITY_CF_UTI" hidden="1">"c643"</definedName>
    <definedName name="IQ_INVEST_SECURITY_SUPPL" hidden="1">"c5511"</definedName>
    <definedName name="IQ_IPRD" hidden="1">"c644"</definedName>
    <definedName name="IQ_ISS_DEBT_NET" hidden="1">"c1391"</definedName>
    <definedName name="IQ_ISS_STOCK_NET" hidden="1">"c1601"</definedName>
    <definedName name="IQ_ISSUE_CURRENCY" hidden="1">"c2156"</definedName>
    <definedName name="IQ_ISSUE_NAME" hidden="1">"c2142"</definedName>
    <definedName name="IQ_ISSUER" hidden="1">"c2143"</definedName>
    <definedName name="IQ_ISSUER_CIQID" hidden="1">"c2258"</definedName>
    <definedName name="IQ_ISSUER_PARENT" hidden="1">"c2144"</definedName>
    <definedName name="IQ_ISSUER_PARENT_CIQID" hidden="1">"c2260"</definedName>
    <definedName name="IQ_ISSUER_PARENT_TICKER" hidden="1">"c2259"</definedName>
    <definedName name="IQ_ISSUER_TICKER" hidden="1">"c2252"</definedName>
    <definedName name="IQ_JR_SUB_DEBT" hidden="1">"c2534"</definedName>
    <definedName name="IQ_JR_SUB_DEBT_EBITDA" hidden="1">"c2560"</definedName>
    <definedName name="IQ_JR_SUB_DEBT_EBITDA_CAPEX" hidden="1">"c2561"</definedName>
    <definedName name="IQ_JR_SUB_DEBT_PCT" hidden="1">"c2535"</definedName>
    <definedName name="IQ_LAND" hidden="1">"c645"</definedName>
    <definedName name="IQ_LAST_PMT_DATE" hidden="1">"c2188"</definedName>
    <definedName name="IQ_LAST_SPLIT_DATE" hidden="1">"c2095"</definedName>
    <definedName name="IQ_LAST_SPLIT_FACTOR" hidden="1">"c2093"</definedName>
    <definedName name="IQ_LASTPRICINGDATE" hidden="1">"c3051"</definedName>
    <definedName name="IQ_LASTSALEPRICE" hidden="1">"c646"</definedName>
    <definedName name="IQ_LASTSALEPRICE_DATE" hidden="1">"c2109"</definedName>
    <definedName name="IQ_LATESTK" hidden="1">1000</definedName>
    <definedName name="IQ_LATESTQ" hidden="1">500</definedName>
    <definedName name="IQ_LEGAL_SETTLE" hidden="1">"c647"</definedName>
    <definedName name="IQ_LEGAL_SETTLE_BNK" hidden="1">"c648"</definedName>
    <definedName name="IQ_LEGAL_SETTLE_BR" hidden="1">"c649"</definedName>
    <definedName name="IQ_LEGAL_SETTLE_FIN" hidden="1">"c650"</definedName>
    <definedName name="IQ_LEGAL_SETTLE_INS" hidden="1">"c651"</definedName>
    <definedName name="IQ_LEGAL_SETTLE_RE" hidden="1">"c6229"</definedName>
    <definedName name="IQ_LEGAL_SETTLE_REIT" hidden="1">"c652"</definedName>
    <definedName name="IQ_LEGAL_SETTLE_UTI" hidden="1">"c653"</definedName>
    <definedName name="IQ_LEVERAGE_RATIO" hidden="1">"c654"</definedName>
    <definedName name="IQ_LEVERED_FCF" hidden="1">"c1907"</definedName>
    <definedName name="IQ_LFCF_10YR_ANN_CAGR" hidden="1">"c6174"</definedName>
    <definedName name="IQ_LFCF_10YR_ANN_GROWTH" hidden="1">"c1942"</definedName>
    <definedName name="IQ_LFCF_1YR_ANN_GROWTH" hidden="1">"c1937"</definedName>
    <definedName name="IQ_LFCF_2YR_ANN_CAGR" hidden="1">"c6170"</definedName>
    <definedName name="IQ_LFCF_2YR_ANN_GROWTH" hidden="1">"c1938"</definedName>
    <definedName name="IQ_LFCF_3YR_ANN_CAGR" hidden="1">"c6171"</definedName>
    <definedName name="IQ_LFCF_3YR_ANN_GROWTH" hidden="1">"c1939"</definedName>
    <definedName name="IQ_LFCF_5YR_ANN_CAGR" hidden="1">"c6172"</definedName>
    <definedName name="IQ_LFCF_5YR_ANN_GROWTH" hidden="1">"c1940"</definedName>
    <definedName name="IQ_LFCF_7YR_ANN_CAGR" hidden="1">"c6173"</definedName>
    <definedName name="IQ_LFCF_7YR_ANN_GROWTH" hidden="1">"c1941"</definedName>
    <definedName name="IQ_LFCF_MARGIN" hidden="1">"c1961"</definedName>
    <definedName name="IQ_LH_STATUTORY_SURPLUS" hidden="1">"c2771"</definedName>
    <definedName name="IQ_LICENSED_POPS" hidden="1">"c2123"</definedName>
    <definedName name="IQ_LIFE_EARNED" hidden="1">"c2739"</definedName>
    <definedName name="IQ_LIFOR" hidden="1">"c655"</definedName>
    <definedName name="IQ_LL" hidden="1">"c656"</definedName>
    <definedName name="IQ_LOAN_LEASE_RECEIV" hidden="1">"c657"</definedName>
    <definedName name="IQ_LOAN_LOSS" hidden="1">"c1386"</definedName>
    <definedName name="IQ_LOAN_SERVICE_REV" hidden="1">"c658"</definedName>
    <definedName name="IQ_LOANS_CF" hidden="1">"c659"</definedName>
    <definedName name="IQ_LOANS_CF_BNK" hidden="1">"c660"</definedName>
    <definedName name="IQ_LOANS_CF_BR" hidden="1">"c661"</definedName>
    <definedName name="IQ_LOANS_CF_FIN" hidden="1">"c662"</definedName>
    <definedName name="IQ_LOANS_CF_INS" hidden="1">"c663"</definedName>
    <definedName name="IQ_LOANS_CF_RE" hidden="1">"c6230"</definedName>
    <definedName name="IQ_LOANS_CF_REIT" hidden="1">"c664"</definedName>
    <definedName name="IQ_LOANS_CF_UTI" hidden="1">"c665"</definedName>
    <definedName name="IQ_LOANS_FOR_SALE" hidden="1">"c666"</definedName>
    <definedName name="IQ_LOANS_PAST_DUE" hidden="1">"c667"</definedName>
    <definedName name="IQ_LOANS_RECEIV_CURRENT" hidden="1">"c668"</definedName>
    <definedName name="IQ_LOANS_RECEIV_LT" hidden="1">"c669"</definedName>
    <definedName name="IQ_LOANS_RECEIV_LT_UTI" hidden="1">"c670"</definedName>
    <definedName name="IQ_LONG_TERM_DEBT" hidden="1">"c1387"</definedName>
    <definedName name="IQ_LONG_TERM_DEBT_OVER_TOTAL_CAP" hidden="1">"c1388"</definedName>
    <definedName name="IQ_LONG_TERM_GROWTH" hidden="1">"c671"</definedName>
    <definedName name="IQ_LONG_TERM_INV" hidden="1">"c1389"</definedName>
    <definedName name="IQ_LOSS_LOSS_EXP" hidden="1">"c672"</definedName>
    <definedName name="IQ_LOSS_TO_NET_EARNED" hidden="1">"c2751"</definedName>
    <definedName name="IQ_LOW_TARGET_PRICE" hidden="1">"c1652"</definedName>
    <definedName name="IQ_LOW_TARGET_PRICE_REUT" hidden="1">"c5318"</definedName>
    <definedName name="IQ_LOWPRICE" hidden="1">"c673"</definedName>
    <definedName name="IQ_LT_DEBT" hidden="1">"c674"</definedName>
    <definedName name="IQ_LT_DEBT_BNK" hidden="1">"c675"</definedName>
    <definedName name="IQ_LT_DEBT_BR" hidden="1">"c676"</definedName>
    <definedName name="IQ_LT_DEBT_CAPITAL" hidden="1">"c677"</definedName>
    <definedName name="IQ_LT_DEBT_CAPITAL_LEASES" hidden="1">"c2542"</definedName>
    <definedName name="IQ_LT_DEBT_CAPITAL_LEASES_PCT" hidden="1">"c2543"</definedName>
    <definedName name="IQ_LT_DEBT_EQUITY" hidden="1">"c678"</definedName>
    <definedName name="IQ_LT_DEBT_FIN" hidden="1">"c679"</definedName>
    <definedName name="IQ_LT_DEBT_INS" hidden="1">"c680"</definedName>
    <definedName name="IQ_LT_DEBT_ISSUED" hidden="1">"c681"</definedName>
    <definedName name="IQ_LT_DEBT_ISSUED_BNK" hidden="1">"c682"</definedName>
    <definedName name="IQ_LT_DEBT_ISSUED_BR" hidden="1">"c683"</definedName>
    <definedName name="IQ_LT_DEBT_ISSUED_FIN" hidden="1">"c684"</definedName>
    <definedName name="IQ_LT_DEBT_ISSUED_INS" hidden="1">"c685"</definedName>
    <definedName name="IQ_LT_DEBT_ISSUED_RE" hidden="1">"c6231"</definedName>
    <definedName name="IQ_LT_DEBT_ISSUED_REIT" hidden="1">"c686"</definedName>
    <definedName name="IQ_LT_DEBT_ISSUED_UTI" hidden="1">"c687"</definedName>
    <definedName name="IQ_LT_DEBT_RE" hidden="1">"c6232"</definedName>
    <definedName name="IQ_LT_DEBT_REIT" hidden="1">"c688"</definedName>
    <definedName name="IQ_LT_DEBT_REPAID" hidden="1">"c689"</definedName>
    <definedName name="IQ_LT_DEBT_REPAID_BNK" hidden="1">"c690"</definedName>
    <definedName name="IQ_LT_DEBT_REPAID_BR" hidden="1">"c691"</definedName>
    <definedName name="IQ_LT_DEBT_REPAID_FIN" hidden="1">"c692"</definedName>
    <definedName name="IQ_LT_DEBT_REPAID_INS" hidden="1">"c693"</definedName>
    <definedName name="IQ_LT_DEBT_REPAID_RE" hidden="1">"c6233"</definedName>
    <definedName name="IQ_LT_DEBT_REPAID_REIT" hidden="1">"c694"</definedName>
    <definedName name="IQ_LT_DEBT_REPAID_UTI" hidden="1">"c695"</definedName>
    <definedName name="IQ_LT_DEBT_UTI" hidden="1">"c696"</definedName>
    <definedName name="IQ_LT_INVEST" hidden="1">"c697"</definedName>
    <definedName name="IQ_LT_INVEST_BR" hidden="1">"c698"</definedName>
    <definedName name="IQ_LT_INVEST_FIN" hidden="1">"c699"</definedName>
    <definedName name="IQ_LT_INVEST_RE" hidden="1">"c6234"</definedName>
    <definedName name="IQ_LT_INVEST_REIT" hidden="1">"c700"</definedName>
    <definedName name="IQ_LT_INVEST_UTI" hidden="1">"c701"</definedName>
    <definedName name="IQ_LT_NOTE_RECEIV" hidden="1">"c1602"</definedName>
    <definedName name="IQ_LTD_DUE_AFTER_FIVE" hidden="1">"c704"</definedName>
    <definedName name="IQ_LTD_DUE_CY" hidden="1">"c705"</definedName>
    <definedName name="IQ_LTD_DUE_CY1" hidden="1">"c706"</definedName>
    <definedName name="IQ_LTD_DUE_CY2" hidden="1">"c707"</definedName>
    <definedName name="IQ_LTD_DUE_CY3" hidden="1">"c708"</definedName>
    <definedName name="IQ_LTD_DUE_CY4" hidden="1">"c709"</definedName>
    <definedName name="IQ_LTD_DUE_NEXT_FIVE" hidden="1">"c710"</definedName>
    <definedName name="IQ_LTM" hidden="1">2000</definedName>
    <definedName name="IQ_LTM_REVENUE_OVER_EMPLOYEES" hidden="1">"c1437"</definedName>
    <definedName name="IQ_LTMMONTH" hidden="1">120000</definedName>
    <definedName name="IQ_MACHINERY" hidden="1">"c711"</definedName>
    <definedName name="IQ_MAINT_CAPEX" hidden="1">"c2947"</definedName>
    <definedName name="IQ_MAINT_CAPEX_ACT_OR_EST" hidden="1">"c4458"</definedName>
    <definedName name="IQ_MAINT_CAPEX_EST" hidden="1">"c4457"</definedName>
    <definedName name="IQ_MAINT_CAPEX_GUIDANCE" hidden="1">"c4459"</definedName>
    <definedName name="IQ_MAINT_CAPEX_HIGH_EST" hidden="1">"c4460"</definedName>
    <definedName name="IQ_MAINT_CAPEX_HIGH_GUIDANCE" hidden="1">"c4197"</definedName>
    <definedName name="IQ_MAINT_CAPEX_LOW_EST" hidden="1">"c4461"</definedName>
    <definedName name="IQ_MAINT_CAPEX_LOW_GUIDANCE" hidden="1">"c4237"</definedName>
    <definedName name="IQ_MAINT_CAPEX_MEDIAN_EST" hidden="1">"c4462"</definedName>
    <definedName name="IQ_MAINT_CAPEX_NUM_EST" hidden="1">"c4463"</definedName>
    <definedName name="IQ_MAINT_CAPEX_STDDEV_EST" hidden="1">"c4464"</definedName>
    <definedName name="IQ_MAINT_REPAIR" hidden="1">"c2087"</definedName>
    <definedName name="IQ_MAKE_WHOLE_END_DATE" hidden="1">"c2493"</definedName>
    <definedName name="IQ_MAKE_WHOLE_SPREAD" hidden="1">"c2494"</definedName>
    <definedName name="IQ_MAKE_WHOLE_START_DATE" hidden="1">"c2492"</definedName>
    <definedName name="IQ_MARKET_CAP_LFCF" hidden="1">"c2209"</definedName>
    <definedName name="IQ_MARKETCAP" hidden="1">"c712"</definedName>
    <definedName name="IQ_MARKETING" hidden="1">"c2239"</definedName>
    <definedName name="IQ_MATURITY_DATE" hidden="1">"c2146"</definedName>
    <definedName name="IQ_MC_RATIO" hidden="1">"c2783"</definedName>
    <definedName name="IQ_MC_STATUTORY_SURPLUS" hidden="1">"c2772"</definedName>
    <definedName name="IQ_MEDIAN_TARGET_PRICE" hidden="1">"c1650"</definedName>
    <definedName name="IQ_MEDIAN_TARGET_PRICE_REUT" hidden="1">"c5316"</definedName>
    <definedName name="IQ_MERGER" hidden="1">"c713"</definedName>
    <definedName name="IQ_MERGER_BNK" hidden="1">"c714"</definedName>
    <definedName name="IQ_MERGER_BR" hidden="1">"c715"</definedName>
    <definedName name="IQ_MERGER_FIN" hidden="1">"c716"</definedName>
    <definedName name="IQ_MERGER_INS" hidden="1">"c717"</definedName>
    <definedName name="IQ_MERGER_RE" hidden="1">"c6235"</definedName>
    <definedName name="IQ_MERGER_REIT" hidden="1">"c718"</definedName>
    <definedName name="IQ_MERGER_RESTRUCTURE" hidden="1">"c719"</definedName>
    <definedName name="IQ_MERGER_RESTRUCTURE_BNK" hidden="1">"c720"</definedName>
    <definedName name="IQ_MERGER_RESTRUCTURE_BR" hidden="1">"c721"</definedName>
    <definedName name="IQ_MERGER_RESTRUCTURE_FIN" hidden="1">"c722"</definedName>
    <definedName name="IQ_MERGER_RESTRUCTURE_INS" hidden="1">"c723"</definedName>
    <definedName name="IQ_MERGER_RESTRUCTURE_RE" hidden="1">"c6236"</definedName>
    <definedName name="IQ_MERGER_RESTRUCTURE_REIT" hidden="1">"c724"</definedName>
    <definedName name="IQ_MERGER_RESTRUCTURE_UTI" hidden="1">"c725"</definedName>
    <definedName name="IQ_MERGER_UTI" hidden="1">"c726"</definedName>
    <definedName name="IQ_MINORITY_INTEREST" hidden="1">"c727"</definedName>
    <definedName name="IQ_MINORITY_INTEREST_BNK" hidden="1">"c728"</definedName>
    <definedName name="IQ_MINORITY_INTEREST_BR" hidden="1">"c729"</definedName>
    <definedName name="IQ_MINORITY_INTEREST_CF" hidden="1">"c730"</definedName>
    <definedName name="IQ_MINORITY_INTEREST_FIN" hidden="1">"c731"</definedName>
    <definedName name="IQ_MINORITY_INTEREST_INS" hidden="1">"c732"</definedName>
    <definedName name="IQ_MINORITY_INTEREST_IS" hidden="1">"c733"</definedName>
    <definedName name="IQ_MINORITY_INTEREST_RE" hidden="1">"c6237"</definedName>
    <definedName name="IQ_MINORITY_INTEREST_REIT" hidden="1">"c734"</definedName>
    <definedName name="IQ_MINORITY_INTEREST_TOTAL" hidden="1">"c1905"</definedName>
    <definedName name="IQ_MINORITY_INTEREST_UTI" hidden="1">"c735"</definedName>
    <definedName name="IQ_MISC_ADJUST_CF" hidden="1">"c736"</definedName>
    <definedName name="IQ_MISC_EARN_ADJ" hidden="1">"c1603"</definedName>
    <definedName name="IQ_MKTCAP_EBT_EXCL" hidden="1">"c737"</definedName>
    <definedName name="IQ_MKTCAP_EBT_EXCL_AVG" hidden="1">"c738"</definedName>
    <definedName name="IQ_MKTCAP_EBT_INCL_AVG" hidden="1">"c739"</definedName>
    <definedName name="IQ_MKTCAP_TOTAL_REV" hidden="1">"c740"</definedName>
    <definedName name="IQ_MKTCAP_TOTAL_REV_AVG" hidden="1">"c741"</definedName>
    <definedName name="IQ_MKTCAP_TOTAL_REV_FWD" hidden="1">"c742"</definedName>
    <definedName name="IQ_MKTCAP_TOTAL_REV_FWD_REUT" hidden="1">"c4048"</definedName>
    <definedName name="IQ_MM_ACCOUNT" hidden="1">"c743"</definedName>
    <definedName name="IQ_MONTH">15000</definedName>
    <definedName name="IQ_MORT_BANK_ACT" hidden="1">"c744"</definedName>
    <definedName name="IQ_MORT_BANKING_FEE" hidden="1">"c745"</definedName>
    <definedName name="IQ_MORT_INT_INC" hidden="1">"c746"</definedName>
    <definedName name="IQ_MORT_LOANS" hidden="1">"c747"</definedName>
    <definedName name="IQ_MORT_SECURITY" hidden="1">"c748"</definedName>
    <definedName name="IQ_MORTGAGE_SERV_RIGHTS" hidden="1">"c2242"</definedName>
    <definedName name="IQ_MTD" hidden="1">800000</definedName>
    <definedName name="IQ_NAMES_REVISION_DATE_" hidden="1">"06/29/2017 16:45:33"</definedName>
    <definedName name="IQ_NAV_ACT_OR_EST" hidden="1">"c2225"</definedName>
    <definedName name="IQ_NAV_EST" hidden="1">"c1751"</definedName>
    <definedName name="IQ_NAV_HIGH_EST" hidden="1">"c1753"</definedName>
    <definedName name="IQ_NAV_LOW_EST" hidden="1">"c1754"</definedName>
    <definedName name="IQ_NAV_MEDIAN_EST" hidden="1">"c1752"</definedName>
    <definedName name="IQ_NAV_NUM_EST" hidden="1">"c1755"</definedName>
    <definedName name="IQ_NAV_SHARE_ACT_OR_EST" hidden="1">"c2225"</definedName>
    <definedName name="IQ_NAV_SHARE_ACT_OR_EST_REUT" hidden="1">"c5623"</definedName>
    <definedName name="IQ_NAV_SHARE_EST" hidden="1">"c5609"</definedName>
    <definedName name="IQ_NAV_SHARE_EST_REUT" hidden="1">"c5617"</definedName>
    <definedName name="IQ_NAV_SHARE_HIGH_EST" hidden="1">"c5612"</definedName>
    <definedName name="IQ_NAV_SHARE_HIGH_EST_REUT" hidden="1">"c5620"</definedName>
    <definedName name="IQ_NAV_SHARE_LOW_EST" hidden="1">"c5613"</definedName>
    <definedName name="IQ_NAV_SHARE_LOW_EST_REUT" hidden="1">"c5621"</definedName>
    <definedName name="IQ_NAV_SHARE_MEDIAN_EST" hidden="1">"c5610"</definedName>
    <definedName name="IQ_NAV_SHARE_MEDIAN_EST_REUT" hidden="1">"c5618"</definedName>
    <definedName name="IQ_NAV_SHARE_NUM_EST" hidden="1">"c5614"</definedName>
    <definedName name="IQ_NAV_SHARE_NUM_EST_REUT" hidden="1">"c5622"</definedName>
    <definedName name="IQ_NAV_SHARE_STDDEV_EST" hidden="1">"c5611"</definedName>
    <definedName name="IQ_NAV_SHARE_STDDEV_EST_REUT" hidden="1">"c5619"</definedName>
    <definedName name="IQ_NAV_STDDEV_EST" hidden="1">"c1756"</definedName>
    <definedName name="IQ_NET_CHANGE" hidden="1">"c749"</definedName>
    <definedName name="IQ_NET_CLAIM_EXP_INCUR" hidden="1">"c2757"</definedName>
    <definedName name="IQ_NET_CLAIM_EXP_INCUR_CY" hidden="1">"c2761"</definedName>
    <definedName name="IQ_NET_CLAIM_EXP_INCUR_PY" hidden="1">"c2762"</definedName>
    <definedName name="IQ_NET_CLAIM_EXP_PAID" hidden="1">"c2760"</definedName>
    <definedName name="IQ_NET_CLAIM_EXP_PAID_CY" hidden="1">"c2763"</definedName>
    <definedName name="IQ_NET_CLAIM_EXP_PAID_PY" hidden="1">"c2764"</definedName>
    <definedName name="IQ_NET_CLAIM_EXP_RES" hidden="1">"c2754"</definedName>
    <definedName name="IQ_NET_DEBT" hidden="1">"c1584"</definedName>
    <definedName name="IQ_NET_DEBT_ACT_OR_EST" hidden="1">"c3583"</definedName>
    <definedName name="IQ_NET_DEBT_ACT_OR_EST_REUT" hidden="1">"c5473"</definedName>
    <definedName name="IQ_NET_DEBT_EBITDA" hidden="1">"c750"</definedName>
    <definedName name="IQ_NET_DEBT_EBITDA_CAPEX" hidden="1">"c2949"</definedName>
    <definedName name="IQ_NET_DEBT_EST" hidden="1">"c3517"</definedName>
    <definedName name="IQ_NET_DEBT_EST_REUT" hidden="1">"c3976"</definedName>
    <definedName name="IQ_NET_DEBT_GUIDANCE" hidden="1">"c4467"</definedName>
    <definedName name="IQ_NET_DEBT_HIGH_EST" hidden="1">"c3518"</definedName>
    <definedName name="IQ_NET_DEBT_HIGH_EST_REUT" hidden="1">"c3978"</definedName>
    <definedName name="IQ_NET_DEBT_HIGH_GUIDANCE" hidden="1">"c4181"</definedName>
    <definedName name="IQ_NET_DEBT_ISSUED" hidden="1">"c751"</definedName>
    <definedName name="IQ_NET_DEBT_ISSUED_BNK" hidden="1">"c752"</definedName>
    <definedName name="IQ_NET_DEBT_ISSUED_BR" hidden="1">"c753"</definedName>
    <definedName name="IQ_NET_DEBT_ISSUED_FIN" hidden="1">"c754"</definedName>
    <definedName name="IQ_NET_DEBT_ISSUED_INS" hidden="1">"c755"</definedName>
    <definedName name="IQ_NET_DEBT_ISSUED_RE" hidden="1">"c6238"</definedName>
    <definedName name="IQ_NET_DEBT_ISSUED_REIT" hidden="1">"c756"</definedName>
    <definedName name="IQ_NET_DEBT_ISSUED_UTI" hidden="1">"c757"</definedName>
    <definedName name="IQ_NET_DEBT_LOW_EST" hidden="1">"c3519"</definedName>
    <definedName name="IQ_NET_DEBT_LOW_EST_REUT" hidden="1">"c3979"</definedName>
    <definedName name="IQ_NET_DEBT_LOW_GUIDANCE" hidden="1">"c4221"</definedName>
    <definedName name="IQ_NET_DEBT_MEDIAN_EST" hidden="1">"c3520"</definedName>
    <definedName name="IQ_NET_DEBT_MEDIAN_EST_REUT" hidden="1">"c3977"</definedName>
    <definedName name="IQ_NET_DEBT_NUM_EST" hidden="1">"c3515"</definedName>
    <definedName name="IQ_NET_DEBT_NUM_EST_REUT" hidden="1">"c3980"</definedName>
    <definedName name="IQ_NET_DEBT_STDDEV_EST" hidden="1">"c3516"</definedName>
    <definedName name="IQ_NET_DEBT_STDDEV_EST_REUT" hidden="1">"c3981"</definedName>
    <definedName name="IQ_NET_EARNED" hidden="1">"c2734"</definedName>
    <definedName name="IQ_NET_INC" hidden="1">"c1394"</definedName>
    <definedName name="IQ_NET_INC_BEFORE" hidden="1">"c1368"</definedName>
    <definedName name="IQ_NET_INC_CF" hidden="1">"c1397"</definedName>
    <definedName name="IQ_NET_INC_MARGIN" hidden="1">"c1398"</definedName>
    <definedName name="IQ_NET_INT_INC_10YR_ANN_CAGR" hidden="1">"c6100"</definedName>
    <definedName name="IQ_NET_INT_INC_10YR_ANN_GROWTH" hidden="1">"c758"</definedName>
    <definedName name="IQ_NET_INT_INC_1YR_ANN_GROWTH" hidden="1">"c759"</definedName>
    <definedName name="IQ_NET_INT_INC_2YR_ANN_CAGR" hidden="1">"c6101"</definedName>
    <definedName name="IQ_NET_INT_INC_2YR_ANN_GROWTH" hidden="1">"c760"</definedName>
    <definedName name="IQ_NET_INT_INC_3YR_ANN_CAGR" hidden="1">"c6102"</definedName>
    <definedName name="IQ_NET_INT_INC_3YR_ANN_GROWTH" hidden="1">"c761"</definedName>
    <definedName name="IQ_NET_INT_INC_5YR_ANN_CAGR" hidden="1">"c6103"</definedName>
    <definedName name="IQ_NET_INT_INC_5YR_ANN_GROWTH" hidden="1">"c762"</definedName>
    <definedName name="IQ_NET_INT_INC_7YR_ANN_CAGR" hidden="1">"c6104"</definedName>
    <definedName name="IQ_NET_INT_INC_7YR_ANN_GROWTH" hidden="1">"c763"</definedName>
    <definedName name="IQ_NET_INT_INC_BNK" hidden="1">"c764"</definedName>
    <definedName name="IQ_NET_INT_INC_BR" hidden="1">"c765"</definedName>
    <definedName name="IQ_NET_INT_INC_FIN" hidden="1">"c766"</definedName>
    <definedName name="IQ_NET_INT_INC_TOTAL_REV" hidden="1">"c767"</definedName>
    <definedName name="IQ_NET_INT_MARGIN" hidden="1">"c768"</definedName>
    <definedName name="IQ_NET_INTEREST_EXP" hidden="1">"c769"</definedName>
    <definedName name="IQ_NET_INTEREST_EXP_RE" hidden="1">"c6239"</definedName>
    <definedName name="IQ_NET_INTEREST_EXP_REIT" hidden="1">"c770"</definedName>
    <definedName name="IQ_NET_INTEREST_EXP_UTI" hidden="1">"c771"</definedName>
    <definedName name="IQ_NET_INTEREST_INC" hidden="1">"c1392"</definedName>
    <definedName name="IQ_NET_INTEREST_INC_AFTER_LL" hidden="1">"c1604"</definedName>
    <definedName name="IQ_NET_LIFE_INS_IN_FORCE" hidden="1">"c2769"</definedName>
    <definedName name="IQ_NET_LOANS" hidden="1">"c772"</definedName>
    <definedName name="IQ_NET_LOANS_10YR_ANN_CAGR" hidden="1">"c6105"</definedName>
    <definedName name="IQ_NET_LOANS_10YR_ANN_GROWTH" hidden="1">"c773"</definedName>
    <definedName name="IQ_NET_LOANS_1YR_ANN_GROWTH" hidden="1">"c774"</definedName>
    <definedName name="IQ_NET_LOANS_2YR_ANN_CAGR" hidden="1">"c6106"</definedName>
    <definedName name="IQ_NET_LOANS_2YR_ANN_GROWTH" hidden="1">"c775"</definedName>
    <definedName name="IQ_NET_LOANS_3YR_ANN_CAGR" hidden="1">"c6107"</definedName>
    <definedName name="IQ_NET_LOANS_3YR_ANN_GROWTH" hidden="1">"c776"</definedName>
    <definedName name="IQ_NET_LOANS_5YR_ANN_CAGR" hidden="1">"c6108"</definedName>
    <definedName name="IQ_NET_LOANS_5YR_ANN_GROWTH" hidden="1">"c777"</definedName>
    <definedName name="IQ_NET_LOANS_7YR_ANN_CAGR" hidden="1">"c6109"</definedName>
    <definedName name="IQ_NET_LOANS_7YR_ANN_GROWTH" hidden="1">"c778"</definedName>
    <definedName name="IQ_NET_LOANS_TOTAL_DEPOSITS" hidden="1">"c779"</definedName>
    <definedName name="IQ_NET_RENTAL_EXP_FN" hidden="1">"c780"</definedName>
    <definedName name="IQ_NET_TO_GROSS_EARNED" hidden="1">"c2750"</definedName>
    <definedName name="IQ_NET_TO_GROSS_WRITTEN" hidden="1">"c2729"</definedName>
    <definedName name="IQ_NET_WORKING_CAP" hidden="1">"c3493"</definedName>
    <definedName name="IQ_NET_WRITTEN" hidden="1">"c2728"</definedName>
    <definedName name="IQ_NEW_PREM" hidden="1">"c2785"</definedName>
    <definedName name="IQ_NEXT_CALL_DATE" hidden="1">"c2198"</definedName>
    <definedName name="IQ_NEXT_CALL_PRICE" hidden="1">"c2199"</definedName>
    <definedName name="IQ_NEXT_INT_DATE" hidden="1">"c2187"</definedName>
    <definedName name="IQ_NEXT_PUT_DATE" hidden="1">"c2200"</definedName>
    <definedName name="IQ_NEXT_PUT_PRICE" hidden="1">"c2201"</definedName>
    <definedName name="IQ_NEXT_SINK_FUND_AMOUNT" hidden="1">"c2490"</definedName>
    <definedName name="IQ_NEXT_SINK_FUND_DATE" hidden="1">"c2489"</definedName>
    <definedName name="IQ_NEXT_SINK_FUND_PRICE" hidden="1">"c2491"</definedName>
    <definedName name="IQ_NI" hidden="1">"c781"</definedName>
    <definedName name="IQ_NI_10YR_ANN_CAGR" hidden="1">"c6110"</definedName>
    <definedName name="IQ_NI_10YR_ANN_GROWTH" hidden="1">"c782"</definedName>
    <definedName name="IQ_NI_1YR_ANN_GROWTH" hidden="1">"c783"</definedName>
    <definedName name="IQ_NI_2YR_ANN_CAGR" hidden="1">"c6111"</definedName>
    <definedName name="IQ_NI_2YR_ANN_GROWTH" hidden="1">"c784"</definedName>
    <definedName name="IQ_NI_3YR_ANN_CAGR" hidden="1">"c6112"</definedName>
    <definedName name="IQ_NI_3YR_ANN_GROWTH" hidden="1">"c785"</definedName>
    <definedName name="IQ_NI_5YR_ANN_CAGR" hidden="1">"c6113"</definedName>
    <definedName name="IQ_NI_5YR_ANN_GROWTH" hidden="1">"c786"</definedName>
    <definedName name="IQ_NI_7YR_ANN_CAGR" hidden="1">"c6114"</definedName>
    <definedName name="IQ_NI_7YR_ANN_GROWTH" hidden="1">"c787"</definedName>
    <definedName name="IQ_NI_ACT_OR_EST" hidden="1">"c2222"</definedName>
    <definedName name="IQ_NI_ACT_OR_EST_REUT" hidden="1">"c5468"</definedName>
    <definedName name="IQ_NI_AFTER_CAPITALIZED" hidden="1">"c788"</definedName>
    <definedName name="IQ_NI_AVAIL_EXCL" hidden="1">"c789"</definedName>
    <definedName name="IQ_NI_AVAIL_EXCL_MARGIN" hidden="1">"c790"</definedName>
    <definedName name="IQ_NI_AVAIL_INCL" hidden="1">"c791"</definedName>
    <definedName name="IQ_NI_BEFORE_CAPITALIZED" hidden="1">"c792"</definedName>
    <definedName name="IQ_NI_CF" hidden="1">"c793"</definedName>
    <definedName name="IQ_NI_EST" hidden="1">"c1716"</definedName>
    <definedName name="IQ_NI_EST_REUT" hidden="1">"c5368"</definedName>
    <definedName name="IQ_NI_GAAP_GUIDANCE" hidden="1">"c4470"</definedName>
    <definedName name="IQ_NI_GAAP_HIGH_GUIDANCE" hidden="1">"c4177"</definedName>
    <definedName name="IQ_NI_GAAP_LOW_GUIDANCE" hidden="1">"c4217"</definedName>
    <definedName name="IQ_NI_GUIDANCE" hidden="1">"c4469"</definedName>
    <definedName name="IQ_NI_GW_EST" hidden="1">"c1723"</definedName>
    <definedName name="IQ_NI_GW_EST_REUT" hidden="1">"c5375"</definedName>
    <definedName name="IQ_NI_GW_GUIDANCE" hidden="1">"c4471"</definedName>
    <definedName name="IQ_NI_GW_HIGH_EST" hidden="1">"c1725"</definedName>
    <definedName name="IQ_NI_GW_HIGH_EST_REUT" hidden="1">"c5377"</definedName>
    <definedName name="IQ_NI_GW_HIGH_GUIDANCE" hidden="1">"c4178"</definedName>
    <definedName name="IQ_NI_GW_LOW_EST" hidden="1">"c1726"</definedName>
    <definedName name="IQ_NI_GW_LOW_EST_REUT" hidden="1">"c5378"</definedName>
    <definedName name="IQ_NI_GW_LOW_GUIDANCE" hidden="1">"c4218"</definedName>
    <definedName name="IQ_NI_GW_MEDIAN_EST" hidden="1">"c1724"</definedName>
    <definedName name="IQ_NI_GW_MEDIAN_EST_REUT" hidden="1">"c5376"</definedName>
    <definedName name="IQ_NI_GW_NUM_EST" hidden="1">"c1727"</definedName>
    <definedName name="IQ_NI_GW_NUM_EST_REUT" hidden="1">"c5379"</definedName>
    <definedName name="IQ_NI_GW_STDDEV_EST" hidden="1">"c1728"</definedName>
    <definedName name="IQ_NI_GW_STDDEV_EST_REUT" hidden="1">"c5380"</definedName>
    <definedName name="IQ_NI_HIGH_EST" hidden="1">"c1718"</definedName>
    <definedName name="IQ_NI_HIGH_EST_REUT" hidden="1">"c5370"</definedName>
    <definedName name="IQ_NI_HIGH_GUIDANCE" hidden="1">"c4176"</definedName>
    <definedName name="IQ_NI_LOW_EST" hidden="1">"c1719"</definedName>
    <definedName name="IQ_NI_LOW_EST_REUT" hidden="1">"c5371"</definedName>
    <definedName name="IQ_NI_LOW_GUIDANCE" hidden="1">"c4216"</definedName>
    <definedName name="IQ_NI_MARGIN" hidden="1">"c794"</definedName>
    <definedName name="IQ_NI_MEDIAN_EST" hidden="1">"c1717"</definedName>
    <definedName name="IQ_NI_MEDIAN_EST_REUT" hidden="1">"c5369"</definedName>
    <definedName name="IQ_NI_NORM" hidden="1">"c1901"</definedName>
    <definedName name="IQ_NI_NORM_10YR_ANN_CAGR" hidden="1">"c6189"</definedName>
    <definedName name="IQ_NI_NORM_10YR_ANN_GROWTH" hidden="1">"c1960"</definedName>
    <definedName name="IQ_NI_NORM_1YR_ANN_GROWTH" hidden="1">"c1955"</definedName>
    <definedName name="IQ_NI_NORM_2YR_ANN_CAGR" hidden="1">"c6185"</definedName>
    <definedName name="IQ_NI_NORM_2YR_ANN_GROWTH" hidden="1">"c1956"</definedName>
    <definedName name="IQ_NI_NORM_3YR_ANN_CAGR" hidden="1">"c6186"</definedName>
    <definedName name="IQ_NI_NORM_3YR_ANN_GROWTH" hidden="1">"c1957"</definedName>
    <definedName name="IQ_NI_NORM_5YR_ANN_CAGR" hidden="1">"c6187"</definedName>
    <definedName name="IQ_NI_NORM_5YR_ANN_GROWTH" hidden="1">"c1958"</definedName>
    <definedName name="IQ_NI_NORM_7YR_ANN_CAGR" hidden="1">"c6188"</definedName>
    <definedName name="IQ_NI_NORM_7YR_ANN_GROWTH" hidden="1">"c1959"</definedName>
    <definedName name="IQ_NI_NORM_MARGIN" hidden="1">"c1964"</definedName>
    <definedName name="IQ_NI_NUM_EST" hidden="1">"c1720"</definedName>
    <definedName name="IQ_NI_NUM_EST_REUT" hidden="1">"c5372"</definedName>
    <definedName name="IQ_NI_REPORTED_EST" hidden="1">"c1730"</definedName>
    <definedName name="IQ_NI_REPORTED_EST_REUT" hidden="1">"c5382"</definedName>
    <definedName name="IQ_NI_REPORTED_HIGH_EST" hidden="1">"c1732"</definedName>
    <definedName name="IQ_NI_REPORTED_HIGH_EST_REUT" hidden="1">"c5384"</definedName>
    <definedName name="IQ_NI_REPORTED_LOW_EST" hidden="1">"c1733"</definedName>
    <definedName name="IQ_NI_REPORTED_LOW_EST_REUT" hidden="1">"c5385"</definedName>
    <definedName name="IQ_NI_REPORTED_MEDIAN_EST" hidden="1">"c1731"</definedName>
    <definedName name="IQ_NI_REPORTED_MEDIAN_EST_REUT" hidden="1">"c5383"</definedName>
    <definedName name="IQ_NI_REPORTED_NUM_EST" hidden="1">"c1734"</definedName>
    <definedName name="IQ_NI_REPORTED_NUM_EST_REUT" hidden="1">"c5386"</definedName>
    <definedName name="IQ_NI_REPORTED_STDDEV_EST" hidden="1">"c1735"</definedName>
    <definedName name="IQ_NI_REPORTED_STDDEV_EST_REUT" hidden="1">"c5387"</definedName>
    <definedName name="IQ_NI_SBC_ACT_OR_EST" hidden="1">"c4474"</definedName>
    <definedName name="IQ_NI_SBC_EST" hidden="1">"c4473"</definedName>
    <definedName name="IQ_NI_SBC_GUIDANCE" hidden="1">"c4475"</definedName>
    <definedName name="IQ_NI_SBC_GW_ACT_OR_EST" hidden="1">"c4478"</definedName>
    <definedName name="IQ_NI_SBC_GW_EST" hidden="1">"c4477"</definedName>
    <definedName name="IQ_NI_SBC_GW_GUIDANCE" hidden="1">"c4479"</definedName>
    <definedName name="IQ_NI_SBC_GW_HIGH_EST" hidden="1">"c4480"</definedName>
    <definedName name="IQ_NI_SBC_GW_HIGH_GUIDANCE" hidden="1">"c4187"</definedName>
    <definedName name="IQ_NI_SBC_GW_LOW_EST" hidden="1">"c4481"</definedName>
    <definedName name="IQ_NI_SBC_GW_LOW_GUIDANCE" hidden="1">"c4227"</definedName>
    <definedName name="IQ_NI_SBC_GW_MEDIAN_EST" hidden="1">"c4482"</definedName>
    <definedName name="IQ_NI_SBC_GW_NUM_EST" hidden="1">"c4483"</definedName>
    <definedName name="IQ_NI_SBC_GW_STDDEV_EST" hidden="1">"c4484"</definedName>
    <definedName name="IQ_NI_SBC_HIGH_EST" hidden="1">"c4486"</definedName>
    <definedName name="IQ_NI_SBC_HIGH_GUIDANCE" hidden="1">"c4186"</definedName>
    <definedName name="IQ_NI_SBC_LOW_EST" hidden="1">"c4487"</definedName>
    <definedName name="IQ_NI_SBC_LOW_GUIDANCE" hidden="1">"c4226"</definedName>
    <definedName name="IQ_NI_SBC_MEDIAN_EST" hidden="1">"c4488"</definedName>
    <definedName name="IQ_NI_SBC_NUM_EST" hidden="1">"c4489"</definedName>
    <definedName name="IQ_NI_SBC_STDDEV_EST" hidden="1">"c4490"</definedName>
    <definedName name="IQ_NI_SFAS" hidden="1">"c795"</definedName>
    <definedName name="IQ_NI_STDDEV_EST" hidden="1">"c1721"</definedName>
    <definedName name="IQ_NI_STDDEV_EST_REUT" hidden="1">"c5373"</definedName>
    <definedName name="IQ_NOL_CF_1YR" hidden="1">"c3465"</definedName>
    <definedName name="IQ_NOL_CF_2YR" hidden="1">"c3466"</definedName>
    <definedName name="IQ_NOL_CF_3YR" hidden="1">"c3467"</definedName>
    <definedName name="IQ_NOL_CF_4YR" hidden="1">"c3468"</definedName>
    <definedName name="IQ_NOL_CF_5YR" hidden="1">"c3469"</definedName>
    <definedName name="IQ_NOL_CF_AFTER_FIVE" hidden="1">"c3470"</definedName>
    <definedName name="IQ_NOL_CF_MAX_YEAR" hidden="1">"c3473"</definedName>
    <definedName name="IQ_NOL_CF_NO_EXP" hidden="1">"c3471"</definedName>
    <definedName name="IQ_NOL_CF_TOTAL" hidden="1">"c3472"</definedName>
    <definedName name="IQ_NON_ACCRUAL_LOANS" hidden="1">"c796"</definedName>
    <definedName name="IQ_NON_CASH" hidden="1">"c1399"</definedName>
    <definedName name="IQ_NON_CASH_ITEMS" hidden="1">"c797"</definedName>
    <definedName name="IQ_NON_INS_EXP" hidden="1">"c798"</definedName>
    <definedName name="IQ_NON_INS_REV" hidden="1">"c799"</definedName>
    <definedName name="IQ_NON_INT_BEAR_CD" hidden="1">"c800"</definedName>
    <definedName name="IQ_NON_INT_EXP" hidden="1">"c801"</definedName>
    <definedName name="IQ_NON_INT_INC" hidden="1">"c802"</definedName>
    <definedName name="IQ_NON_INT_INC_10YR_ANN_CAGR" hidden="1">"c6115"</definedName>
    <definedName name="IQ_NON_INT_INC_10YR_ANN_GROWTH" hidden="1">"c803"</definedName>
    <definedName name="IQ_NON_INT_INC_1YR_ANN_GROWTH" hidden="1">"c804"</definedName>
    <definedName name="IQ_NON_INT_INC_2YR_ANN_CAGR" hidden="1">"c6116"</definedName>
    <definedName name="IQ_NON_INT_INC_2YR_ANN_GROWTH" hidden="1">"c805"</definedName>
    <definedName name="IQ_NON_INT_INC_3YR_ANN_CAGR" hidden="1">"c6117"</definedName>
    <definedName name="IQ_NON_INT_INC_3YR_ANN_GROWTH" hidden="1">"c806"</definedName>
    <definedName name="IQ_NON_INT_INC_5YR_ANN_CAGR" hidden="1">"c6118"</definedName>
    <definedName name="IQ_NON_INT_INC_5YR_ANN_GROWTH" hidden="1">"c807"</definedName>
    <definedName name="IQ_NON_INT_INC_7YR_ANN_CAGR" hidden="1">"c6119"</definedName>
    <definedName name="IQ_NON_INT_INC_7YR_ANN_GROWTH" hidden="1">"c808"</definedName>
    <definedName name="IQ_NON_INTEREST_EXP" hidden="1">"c1400"</definedName>
    <definedName name="IQ_NON_INTEREST_INC" hidden="1">"c1401"</definedName>
    <definedName name="IQ_NON_OPER_EXP" hidden="1">"c809"</definedName>
    <definedName name="IQ_NON_OPER_INC" hidden="1">"c810"</definedName>
    <definedName name="IQ_NON_PERF_ASSETS_10YR_ANN_CAGR" hidden="1">"c6120"</definedName>
    <definedName name="IQ_NON_PERF_ASSETS_10YR_ANN_GROWTH" hidden="1">"c811"</definedName>
    <definedName name="IQ_NON_PERF_ASSETS_1YR_ANN_GROWTH" hidden="1">"c812"</definedName>
    <definedName name="IQ_NON_PERF_ASSETS_2YR_ANN_CAGR" hidden="1">"c6121"</definedName>
    <definedName name="IQ_NON_PERF_ASSETS_2YR_ANN_GROWTH" hidden="1">"c813"</definedName>
    <definedName name="IQ_NON_PERF_ASSETS_3YR_ANN_CAGR" hidden="1">"c6122"</definedName>
    <definedName name="IQ_NON_PERF_ASSETS_3YR_ANN_GROWTH" hidden="1">"c814"</definedName>
    <definedName name="IQ_NON_PERF_ASSETS_5YR_ANN_CAGR" hidden="1">"c6123"</definedName>
    <definedName name="IQ_NON_PERF_ASSETS_5YR_ANN_GROWTH" hidden="1">"c815"</definedName>
    <definedName name="IQ_NON_PERF_ASSETS_7YR_ANN_CAGR" hidden="1">"c6124"</definedName>
    <definedName name="IQ_NON_PERF_ASSETS_7YR_ANN_GROWTH" hidden="1">"c816"</definedName>
    <definedName name="IQ_NON_PERF_ASSETS_TOTAL_ASSETS" hidden="1">"c817"</definedName>
    <definedName name="IQ_NON_PERF_LOANS_10YR_ANN_CAGR" hidden="1">"c6125"</definedName>
    <definedName name="IQ_NON_PERF_LOANS_10YR_ANN_GROWTH" hidden="1">"c818"</definedName>
    <definedName name="IQ_NON_PERF_LOANS_1YR_ANN_GROWTH" hidden="1">"c819"</definedName>
    <definedName name="IQ_NON_PERF_LOANS_2YR_ANN_CAGR" hidden="1">"c6126"</definedName>
    <definedName name="IQ_NON_PERF_LOANS_2YR_ANN_GROWTH" hidden="1">"c820"</definedName>
    <definedName name="IQ_NON_PERF_LOANS_3YR_ANN_CAGR" hidden="1">"c6127"</definedName>
    <definedName name="IQ_NON_PERF_LOANS_3YR_ANN_GROWTH" hidden="1">"c821"</definedName>
    <definedName name="IQ_NON_PERF_LOANS_5YR_ANN_CAGR" hidden="1">"c6128"</definedName>
    <definedName name="IQ_NON_PERF_LOANS_5YR_ANN_GROWTH" hidden="1">"c822"</definedName>
    <definedName name="IQ_NON_PERF_LOANS_7YR_ANN_CAGR" hidden="1">"c6129"</definedName>
    <definedName name="IQ_NON_PERF_LOANS_7YR_ANN_GROWTH" hidden="1">"c823"</definedName>
    <definedName name="IQ_NON_PERF_LOANS_TOTAL_ASSETS" hidden="1">"c824"</definedName>
    <definedName name="IQ_NON_PERF_LOANS_TOTAL_LOANS" hidden="1">"c825"</definedName>
    <definedName name="IQ_NON_PERFORMING_ASSETS" hidden="1">"c826"</definedName>
    <definedName name="IQ_NON_PERFORMING_LOANS" hidden="1">"c827"</definedName>
    <definedName name="IQ_NONCASH_PENSION_EXP" hidden="1">"c3000"</definedName>
    <definedName name="IQ_NONRECOURSE_DEBT" hidden="1">"c2550"</definedName>
    <definedName name="IQ_NONRECOURSE_DEBT_PCT" hidden="1">"c2551"</definedName>
    <definedName name="IQ_NONUTIL_REV" hidden="1">"c2089"</definedName>
    <definedName name="IQ_NORM_EPS_ACT_OR_EST" hidden="1">"c2249"</definedName>
    <definedName name="IQ_NORM_EPS_ACT_OR_EST_REUT" hidden="1">"c5472"</definedName>
    <definedName name="IQ_NORMAL_INC_AFTER" hidden="1">"c1605"</definedName>
    <definedName name="IQ_NORMAL_INC_AVAIL" hidden="1">"c1606"</definedName>
    <definedName name="IQ_NORMAL_INC_BEFORE" hidden="1">"c1607"</definedName>
    <definedName name="IQ_NOTES_PAY" hidden="1">"c1423"</definedName>
    <definedName name="IQ_NOW_ACCOUNT" hidden="1">"c828"</definedName>
    <definedName name="IQ_NPPE" hidden="1">"c829"</definedName>
    <definedName name="IQ_NPPE_10YR_ANN_CAGR" hidden="1">"c6130"</definedName>
    <definedName name="IQ_NPPE_10YR_ANN_GROWTH" hidden="1">"c830"</definedName>
    <definedName name="IQ_NPPE_1YR_ANN_GROWTH" hidden="1">"c831"</definedName>
    <definedName name="IQ_NPPE_2YR_ANN_CAGR" hidden="1">"c6131"</definedName>
    <definedName name="IQ_NPPE_2YR_ANN_GROWTH" hidden="1">"c832"</definedName>
    <definedName name="IQ_NPPE_3YR_ANN_CAGR" hidden="1">"c6132"</definedName>
    <definedName name="IQ_NPPE_3YR_ANN_GROWTH" hidden="1">"c833"</definedName>
    <definedName name="IQ_NPPE_5YR_ANN_CAGR" hidden="1">"c6133"</definedName>
    <definedName name="IQ_NPPE_5YR_ANN_GROWTH" hidden="1">"c834"</definedName>
    <definedName name="IQ_NPPE_7YR_ANN_CAGR" hidden="1">"c6134"</definedName>
    <definedName name="IQ_NPPE_7YR_ANN_GROWTH" hidden="1">"c835"</definedName>
    <definedName name="IQ_NTM" hidden="1">6000</definedName>
    <definedName name="IQ_NUKE" hidden="1">"c836"</definedName>
    <definedName name="IQ_NUKE_CF" hidden="1">"c837"</definedName>
    <definedName name="IQ_NUKE_CONTR" hidden="1">"c838"</definedName>
    <definedName name="IQ_NUM_BRANCHES" hidden="1">"c2088"</definedName>
    <definedName name="IQ_NUMBER_ADRHOLDERS" hidden="1">"c1970"</definedName>
    <definedName name="IQ_NUMBER_DAYS" hidden="1">"c1904"</definedName>
    <definedName name="IQ_NUMBER_SHAREHOLDERS" hidden="1">"c1967"</definedName>
    <definedName name="IQ_NUMBER_SHAREHOLDERS_CLASSA" hidden="1">"c1968"</definedName>
    <definedName name="IQ_NUMBER_SHAREHOLDERS_OTHER" hidden="1">"c1969"</definedName>
    <definedName name="IQ_OCCUPY_EXP" hidden="1">"c839"</definedName>
    <definedName name="IQ_OFFER_AMOUNT" hidden="1">"c2152"</definedName>
    <definedName name="IQ_OFFER_COUPON" hidden="1">"c2147"</definedName>
    <definedName name="IQ_OFFER_COUPON_TYPE" hidden="1">"c2148"</definedName>
    <definedName name="IQ_OFFER_DATE" hidden="1">"c2149"</definedName>
    <definedName name="IQ_OFFER_PRICE" hidden="1">"c2150"</definedName>
    <definedName name="IQ_OFFER_YIELD" hidden="1">"c2151"</definedName>
    <definedName name="IQ_OG_10DISC" hidden="1">"c1998"</definedName>
    <definedName name="IQ_OG_10DISC_GAS" hidden="1">"c2018"</definedName>
    <definedName name="IQ_OG_10DISC_OIL" hidden="1">"c2008"</definedName>
    <definedName name="IQ_OG_ACQ_COST_PROVED" hidden="1">"c1975"</definedName>
    <definedName name="IQ_OG_ACQ_COST_PROVED_GAS" hidden="1">"c1987"</definedName>
    <definedName name="IQ_OG_ACQ_COST_PROVED_OIL" hidden="1">"c1981"</definedName>
    <definedName name="IQ_OG_ACQ_COST_UNPROVED" hidden="1">"c1976"</definedName>
    <definedName name="IQ_OG_ACQ_COST_UNPROVED_GAS" hidden="1">"c1988"</definedName>
    <definedName name="IQ_OG_ACQ_COST_UNPROVED_OIL" hidden="1">"c1982"</definedName>
    <definedName name="IQ_OG_AVG_DAILY_PROD_GAS" hidden="1">"c2910"</definedName>
    <definedName name="IQ_OG_AVG_DAILY_PROD_NGL" hidden="1">"c2911"</definedName>
    <definedName name="IQ_OG_AVG_DAILY_PROD_OIL" hidden="1">"c2909"</definedName>
    <definedName name="IQ_OG_AVG_DAILY_SALES_VOL_EQ_INC_GAS" hidden="1">"c5797"</definedName>
    <definedName name="IQ_OG_AVG_DAILY_SALES_VOL_EQ_INC_NGL" hidden="1">"c5798"</definedName>
    <definedName name="IQ_OG_AVG_DAILY_SALES_VOL_EQ_INC_OIL" hidden="1">"c5796"</definedName>
    <definedName name="IQ_OG_CLOSE_BALANCE_GAS" hidden="1">"c2049"</definedName>
    <definedName name="IQ_OG_CLOSE_BALANCE_NGL" hidden="1">"c2920"</definedName>
    <definedName name="IQ_OG_CLOSE_BALANCE_OIL" hidden="1">"c2037"</definedName>
    <definedName name="IQ_OG_DCF_BEFORE_TAXES" hidden="1">"c2023"</definedName>
    <definedName name="IQ_OG_DCF_BEFORE_TAXES_GAS" hidden="1">"c2025"</definedName>
    <definedName name="IQ_OG_DCF_BEFORE_TAXES_OIL" hidden="1">"c2024"</definedName>
    <definedName name="IQ_OG_DEVELOPED_ACRE_GROSS_EQ_INC" hidden="1">"c5802"</definedName>
    <definedName name="IQ_OG_DEVELOPED_ACRE_NET_EQ_INC" hidden="1">"c5803"</definedName>
    <definedName name="IQ_OG_DEVELOPED_RESERVES_GAS" hidden="1">"c2053"</definedName>
    <definedName name="IQ_OG_DEVELOPED_RESERVES_NGL" hidden="1">"c2922"</definedName>
    <definedName name="IQ_OG_DEVELOPED_RESERVES_OIL" hidden="1">"c2054"</definedName>
    <definedName name="IQ_OG_DEVELOPMENT_COSTS" hidden="1">"c1978"</definedName>
    <definedName name="IQ_OG_DEVELOPMENT_COSTS_GAS" hidden="1">"c1990"</definedName>
    <definedName name="IQ_OG_DEVELOPMENT_COSTS_OIL" hidden="1">"c1984"</definedName>
    <definedName name="IQ_OG_EQUITY_DCF" hidden="1">"c2002"</definedName>
    <definedName name="IQ_OG_EQUITY_DCF_GAS" hidden="1">"c2022"</definedName>
    <definedName name="IQ_OG_EQUITY_DCF_OIL" hidden="1">"c2012"</definedName>
    <definedName name="IQ_OG_EQUTY_RESERVES_GAS" hidden="1">"c2050"</definedName>
    <definedName name="IQ_OG_EQUTY_RESERVES_NGL" hidden="1">"c2921"</definedName>
    <definedName name="IQ_OG_EQUTY_RESERVES_OIL" hidden="1">"c2038"</definedName>
    <definedName name="IQ_OG_EXPLORATION_COSTS" hidden="1">"c1977"</definedName>
    <definedName name="IQ_OG_EXPLORATION_COSTS_GAS" hidden="1">"c1989"</definedName>
    <definedName name="IQ_OG_EXPLORATION_COSTS_OIL" hidden="1">"c1983"</definedName>
    <definedName name="IQ_OG_EXT_DISC_GAS" hidden="1">"c2043"</definedName>
    <definedName name="IQ_OG_EXT_DISC_NGL" hidden="1">"c2914"</definedName>
    <definedName name="IQ_OG_EXT_DISC_OIL" hidden="1">"c2031"</definedName>
    <definedName name="IQ_OG_FUTURE_CASH_INFLOWS" hidden="1">"c1993"</definedName>
    <definedName name="IQ_OG_FUTURE_CASH_INFLOWS_GAS" hidden="1">"c2013"</definedName>
    <definedName name="IQ_OG_FUTURE_CASH_INFLOWS_OIL" hidden="1">"c2003"</definedName>
    <definedName name="IQ_OG_FUTURE_DEVELOPMENT_COSTS" hidden="1">"c1995"</definedName>
    <definedName name="IQ_OG_FUTURE_DEVELOPMENT_COSTS_GAS" hidden="1">"c2015"</definedName>
    <definedName name="IQ_OG_FUTURE_DEVELOPMENT_COSTS_OIL" hidden="1">"c2005"</definedName>
    <definedName name="IQ_OG_FUTURE_INC_TAXES" hidden="1">"c1997"</definedName>
    <definedName name="IQ_OG_FUTURE_INC_TAXES_GAS" hidden="1">"c2017"</definedName>
    <definedName name="IQ_OG_FUTURE_INC_TAXES_OIL" hidden="1">"c2007"</definedName>
    <definedName name="IQ_OG_FUTURE_PRODUCTION_COSTS" hidden="1">"c1994"</definedName>
    <definedName name="IQ_OG_FUTURE_PRODUCTION_COSTS_GAS" hidden="1">"c2014"</definedName>
    <definedName name="IQ_OG_FUTURE_PRODUCTION_COSTS_OIL" hidden="1">"c2004"</definedName>
    <definedName name="IQ_OG_GAS_PRICE_HEDGED" hidden="1">"c2056"</definedName>
    <definedName name="IQ_OG_GAS_PRICE_UNHEDGED" hidden="1">"c2058"</definedName>
    <definedName name="IQ_OG_IMPROVED_RECOVERY_GAS" hidden="1">"c2044"</definedName>
    <definedName name="IQ_OG_IMPROVED_RECOVERY_NGL" hidden="1">"c2915"</definedName>
    <definedName name="IQ_OG_IMPROVED_RECOVERY_OIL" hidden="1">"c2032"</definedName>
    <definedName name="IQ_OG_LIQUID_GAS_PRICE_HEDGED" hidden="1">"c2233"</definedName>
    <definedName name="IQ_OG_LIQUID_GAS_PRICE_UNHEDGED" hidden="1">"c2234"</definedName>
    <definedName name="IQ_OG_NET_FUTURE_CASH_FLOWS" hidden="1">"c1996"</definedName>
    <definedName name="IQ_OG_NET_FUTURE_CASH_FLOWS_GAS" hidden="1">"c2016"</definedName>
    <definedName name="IQ_OG_NET_FUTURE_CASH_FLOWS_OIL" hidden="1">"c2006"</definedName>
    <definedName name="IQ_OG_OIL_PRICE_HEDGED" hidden="1">"c2055"</definedName>
    <definedName name="IQ_OG_OIL_PRICE_UNHEDGED" hidden="1">"c2057"</definedName>
    <definedName name="IQ_OG_OPEN_BALANCE_GAS" hidden="1">"c2041"</definedName>
    <definedName name="IQ_OG_OPEN_BALANCE_NGL" hidden="1">"c2912"</definedName>
    <definedName name="IQ_OG_OPEN_BALANCE_OIL" hidden="1">"c2029"</definedName>
    <definedName name="IQ_OG_OTHER_ADJ_FCF" hidden="1">"c1999"</definedName>
    <definedName name="IQ_OG_OTHER_ADJ_FCF_GAS" hidden="1">"c2019"</definedName>
    <definedName name="IQ_OG_OTHER_ADJ_FCF_OIL" hidden="1">"c2009"</definedName>
    <definedName name="IQ_OG_OTHER_ADJ_GAS" hidden="1">"c2048"</definedName>
    <definedName name="IQ_OG_OTHER_ADJ_NGL" hidden="1">"c2919"</definedName>
    <definedName name="IQ_OG_OTHER_ADJ_OIL" hidden="1">"c2036"</definedName>
    <definedName name="IQ_OG_OTHER_COSTS" hidden="1">"c1979"</definedName>
    <definedName name="IQ_OG_OTHER_COSTS_GAS" hidden="1">"c1991"</definedName>
    <definedName name="IQ_OG_OTHER_COSTS_OIL" hidden="1">"c1985"</definedName>
    <definedName name="IQ_OG_PRODUCTION_GAS" hidden="1">"c2047"</definedName>
    <definedName name="IQ_OG_PRODUCTION_NGL" hidden="1">"c2918"</definedName>
    <definedName name="IQ_OG_PRODUCTION_OIL" hidden="1">"c2035"</definedName>
    <definedName name="IQ_OG_PURCHASES_GAS" hidden="1">"c2045"</definedName>
    <definedName name="IQ_OG_PURCHASES_NGL" hidden="1">"c2916"</definedName>
    <definedName name="IQ_OG_PURCHASES_OIL" hidden="1">"c2033"</definedName>
    <definedName name="IQ_OG_RESERVE_REPLACEMENT_RATIO" hidden="1">"c5799"</definedName>
    <definedName name="IQ_OG_REVISIONS_GAS" hidden="1">"c2042"</definedName>
    <definedName name="IQ_OG_REVISIONS_NGL" hidden="1">"c2913"</definedName>
    <definedName name="IQ_OG_REVISIONS_OIL" hidden="1">"c2030"</definedName>
    <definedName name="IQ_OG_SALES_IN_PLACE_GAS" hidden="1">"c2046"</definedName>
    <definedName name="IQ_OG_SALES_IN_PLACE_NGL" hidden="1">"c2917"</definedName>
    <definedName name="IQ_OG_SALES_IN_PLACE_OIL" hidden="1">"c2034"</definedName>
    <definedName name="IQ_OG_SALES_VOL_EQ_INC_GAS" hidden="1">"c5794"</definedName>
    <definedName name="IQ_OG_SALES_VOL_EQ_INC_NGL" hidden="1">"c5795"</definedName>
    <definedName name="IQ_OG_SALES_VOL_EQ_INC_OIL" hidden="1">"c5793"</definedName>
    <definedName name="IQ_OG_STANDARDIZED_DCF" hidden="1">"c2000"</definedName>
    <definedName name="IQ_OG_STANDARDIZED_DCF_GAS" hidden="1">"c2020"</definedName>
    <definedName name="IQ_OG_STANDARDIZED_DCF_HEDGED" hidden="1">"c2001"</definedName>
    <definedName name="IQ_OG_STANDARDIZED_DCF_HEDGED_GAS" hidden="1">"c2021"</definedName>
    <definedName name="IQ_OG_STANDARDIZED_DCF_HEDGED_OIL" hidden="1">"c2011"</definedName>
    <definedName name="IQ_OG_STANDARDIZED_DCF_OIL" hidden="1">"c2010"</definedName>
    <definedName name="IQ_OG_TAXES" hidden="1">"c2026"</definedName>
    <definedName name="IQ_OG_TAXES_GAS" hidden="1">"c2028"</definedName>
    <definedName name="IQ_OG_TAXES_OIL" hidden="1">"c2027"</definedName>
    <definedName name="IQ_OG_TOTAL_COSTS" hidden="1">"c1980"</definedName>
    <definedName name="IQ_OG_TOTAL_COSTS_GAS" hidden="1">"c1992"</definedName>
    <definedName name="IQ_OG_TOTAL_COSTS_OIL" hidden="1">"c1986"</definedName>
    <definedName name="IQ_OG_TOTAL_EST_PROVED_RESERVES_GAS" hidden="1">"c2052"</definedName>
    <definedName name="IQ_OG_TOTAL_GAS_PRODUCTION" hidden="1">"c2060"</definedName>
    <definedName name="IQ_OG_TOTAL_LIQUID_GAS_PRODUCTION" hidden="1">"c2235"</definedName>
    <definedName name="IQ_OG_TOTAL_OIL_PRODUCTION" hidden="1">"c2059"</definedName>
    <definedName name="IQ_OG_UNDEVELOPED_ACRE_GROSS_EQ_INC" hidden="1">"c5800"</definedName>
    <definedName name="IQ_OG_UNDEVELOPED_ACRE_NET_EQ_INC" hidden="1">"c5801"</definedName>
    <definedName name="IQ_OG_UNDEVELOPED_RESERVES_GAS" hidden="1">"c2051"</definedName>
    <definedName name="IQ_OG_UNDEVELOPED_RESERVES_NGL" hidden="1">"c2923"</definedName>
    <definedName name="IQ_OG_UNDEVELOPED_RESERVES_OIL" hidden="1">"c2039"</definedName>
    <definedName name="IQ_OIL_IMPAIR" hidden="1">"c840"</definedName>
    <definedName name="IQ_OL_COMM_AFTER_FIVE" hidden="1">"c841"</definedName>
    <definedName name="IQ_OL_COMM_CY" hidden="1">"c842"</definedName>
    <definedName name="IQ_OL_COMM_CY1" hidden="1">"c843"</definedName>
    <definedName name="IQ_OL_COMM_CY2" hidden="1">"c844"</definedName>
    <definedName name="IQ_OL_COMM_CY3" hidden="1">"c845"</definedName>
    <definedName name="IQ_OL_COMM_CY4" hidden="1">"c846"</definedName>
    <definedName name="IQ_OL_COMM_NEXT_FIVE" hidden="1">"c847"</definedName>
    <definedName name="IQ_OPEB_ACCRUED_LIAB" hidden="1">"c3308"</definedName>
    <definedName name="IQ_OPEB_ACCRUED_LIAB_DOM" hidden="1">"c3306"</definedName>
    <definedName name="IQ_OPEB_ACCRUED_LIAB_FOREIGN" hidden="1">"c3307"</definedName>
    <definedName name="IQ_OPEB_ACCUM_OTHER_CI" hidden="1">"c3314"</definedName>
    <definedName name="IQ_OPEB_ACCUM_OTHER_CI_DOM" hidden="1">"c3312"</definedName>
    <definedName name="IQ_OPEB_ACCUM_OTHER_CI_FOREIGN" hidden="1">"c3313"</definedName>
    <definedName name="IQ_OPEB_ACT_NEXT" hidden="1">"c5774"</definedName>
    <definedName name="IQ_OPEB_ACT_NEXT_DOM" hidden="1">"c5772"</definedName>
    <definedName name="IQ_OPEB_ACT_NEXT_FOREIGN" hidden="1">"c5773"</definedName>
    <definedName name="IQ_OPEB_AMT_RECOG_NEXT" hidden="1">"c5783"</definedName>
    <definedName name="IQ_OPEB_AMT_RECOG_NEXT_DOM" hidden="1">"c5781"</definedName>
    <definedName name="IQ_OPEB_AMT_RECOG_NEXT_FOREIGN" hidden="1">"c5782"</definedName>
    <definedName name="IQ_OPEB_ASSETS" hidden="1">"c3356"</definedName>
    <definedName name="IQ_OPEB_ASSETS_ACQ" hidden="1">"c3347"</definedName>
    <definedName name="IQ_OPEB_ASSETS_ACQ_DOM" hidden="1">"c3345"</definedName>
    <definedName name="IQ_OPEB_ASSETS_ACQ_FOREIGN" hidden="1">"c3346"</definedName>
    <definedName name="IQ_OPEB_ASSETS_ACTUAL_RETURN" hidden="1">"c3332"</definedName>
    <definedName name="IQ_OPEB_ASSETS_ACTUAL_RETURN_DOM" hidden="1">"c3330"</definedName>
    <definedName name="IQ_OPEB_ASSETS_ACTUAL_RETURN_FOREIGN" hidden="1">"c3331"</definedName>
    <definedName name="IQ_OPEB_ASSETS_BEG" hidden="1">"c3329"</definedName>
    <definedName name="IQ_OPEB_ASSETS_BEG_DOM" hidden="1">"c3327"</definedName>
    <definedName name="IQ_OPEB_ASSETS_BEG_FOREIGN" hidden="1">"c3328"</definedName>
    <definedName name="IQ_OPEB_ASSETS_BENEFITS_PAID" hidden="1">"c3341"</definedName>
    <definedName name="IQ_OPEB_ASSETS_BENEFITS_PAID_DOM" hidden="1">"c3339"</definedName>
    <definedName name="IQ_OPEB_ASSETS_BENEFITS_PAID_FOREIGN" hidden="1">"c3340"</definedName>
    <definedName name="IQ_OPEB_ASSETS_CURTAIL" hidden="1">"c3350"</definedName>
    <definedName name="IQ_OPEB_ASSETS_CURTAIL_DOM" hidden="1">"c3348"</definedName>
    <definedName name="IQ_OPEB_ASSETS_CURTAIL_FOREIGN" hidden="1">"c3349"</definedName>
    <definedName name="IQ_OPEB_ASSETS_DOM" hidden="1">"c3354"</definedName>
    <definedName name="IQ_OPEB_ASSETS_EMPLOYER_CONTRIBUTIONS" hidden="1">"c3335"</definedName>
    <definedName name="IQ_OPEB_ASSETS_EMPLOYER_CONTRIBUTIONS_DOM" hidden="1">"c3333"</definedName>
    <definedName name="IQ_OPEB_ASSETS_EMPLOYER_CONTRIBUTIONS_FOREIGN" hidden="1">"c3334"</definedName>
    <definedName name="IQ_OPEB_ASSETS_FOREIGN" hidden="1">"c3355"</definedName>
    <definedName name="IQ_OPEB_ASSETS_FX_ADJ" hidden="1">"c3344"</definedName>
    <definedName name="IQ_OPEB_ASSETS_FX_ADJ_DOM" hidden="1">"c3342"</definedName>
    <definedName name="IQ_OPEB_ASSETS_FX_ADJ_FOREIGN" hidden="1">"c3343"</definedName>
    <definedName name="IQ_OPEB_ASSETS_OTHER_PLAN_ADJ" hidden="1">"c3353"</definedName>
    <definedName name="IQ_OPEB_ASSETS_OTHER_PLAN_ADJ_DOM" hidden="1">"c3351"</definedName>
    <definedName name="IQ_OPEB_ASSETS_OTHER_PLAN_ADJ_FOREIGN" hidden="1">"c3352"</definedName>
    <definedName name="IQ_OPEB_ASSETS_PARTICIP_CONTRIBUTIONS" hidden="1">"c3338"</definedName>
    <definedName name="IQ_OPEB_ASSETS_PARTICIP_CONTRIBUTIONS_DOM" hidden="1">"c3336"</definedName>
    <definedName name="IQ_OPEB_ASSETS_PARTICIP_CONTRIBUTIONS_FOREIGN" hidden="1">"c3337"</definedName>
    <definedName name="IQ_OPEB_BENEFIT_INFO_DATE" hidden="1">"c3410"</definedName>
    <definedName name="IQ_OPEB_BENEFIT_INFO_DATE_DOM" hidden="1">"c3408"</definedName>
    <definedName name="IQ_OPEB_BENEFIT_INFO_DATE_FOREIGN" hidden="1">"c3409"</definedName>
    <definedName name="IQ_OPEB_BREAKDOWN_EQ" hidden="1">"c3275"</definedName>
    <definedName name="IQ_OPEB_BREAKDOWN_EQ_DOM" hidden="1">"c3273"</definedName>
    <definedName name="IQ_OPEB_BREAKDOWN_EQ_FOREIGN" hidden="1">"c3274"</definedName>
    <definedName name="IQ_OPEB_BREAKDOWN_FI" hidden="1">"c3278"</definedName>
    <definedName name="IQ_OPEB_BREAKDOWN_FI_DOM" hidden="1">"c3276"</definedName>
    <definedName name="IQ_OPEB_BREAKDOWN_FI_FOREIGN" hidden="1">"c3277"</definedName>
    <definedName name="IQ_OPEB_BREAKDOWN_OTHER" hidden="1">"c3284"</definedName>
    <definedName name="IQ_OPEB_BREAKDOWN_OTHER_DOM" hidden="1">"c3282"</definedName>
    <definedName name="IQ_OPEB_BREAKDOWN_OTHER_FOREIGN" hidden="1">"c3283"</definedName>
    <definedName name="IQ_OPEB_BREAKDOWN_PCT_EQ" hidden="1">"c3263"</definedName>
    <definedName name="IQ_OPEB_BREAKDOWN_PCT_EQ_DOM" hidden="1">"c3261"</definedName>
    <definedName name="IQ_OPEB_BREAKDOWN_PCT_EQ_FOREIGN" hidden="1">"c3262"</definedName>
    <definedName name="IQ_OPEB_BREAKDOWN_PCT_FI" hidden="1">"c3266"</definedName>
    <definedName name="IQ_OPEB_BREAKDOWN_PCT_FI_DOM" hidden="1">"c3264"</definedName>
    <definedName name="IQ_OPEB_BREAKDOWN_PCT_FI_FOREIGN" hidden="1">"c3265"</definedName>
    <definedName name="IQ_OPEB_BREAKDOWN_PCT_OTHER" hidden="1">"c3272"</definedName>
    <definedName name="IQ_OPEB_BREAKDOWN_PCT_OTHER_DOM" hidden="1">"c3270"</definedName>
    <definedName name="IQ_OPEB_BREAKDOWN_PCT_OTHER_FOREIGN" hidden="1">"c3271"</definedName>
    <definedName name="IQ_OPEB_BREAKDOWN_PCT_RE" hidden="1">"c3269"</definedName>
    <definedName name="IQ_OPEB_BREAKDOWN_PCT_RE_DOM" hidden="1">"c3267"</definedName>
    <definedName name="IQ_OPEB_BREAKDOWN_PCT_RE_FOREIGN" hidden="1">"c3268"</definedName>
    <definedName name="IQ_OPEB_BREAKDOWN_RE" hidden="1">"c3281"</definedName>
    <definedName name="IQ_OPEB_BREAKDOWN_RE_DOM" hidden="1">"c3279"</definedName>
    <definedName name="IQ_OPEB_BREAKDOWN_RE_FOREIGN" hidden="1">"c3280"</definedName>
    <definedName name="IQ_OPEB_CI_ACT" hidden="1">"c5759"</definedName>
    <definedName name="IQ_OPEB_CI_ACT_DOM" hidden="1">"c5757"</definedName>
    <definedName name="IQ_OPEB_CI_ACT_FOREIGN" hidden="1">"c5758"</definedName>
    <definedName name="IQ_OPEB_CI_NET_AMT_RECOG" hidden="1">"c5771"</definedName>
    <definedName name="IQ_OPEB_CI_NET_AMT_RECOG_DOM" hidden="1">"c5769"</definedName>
    <definedName name="IQ_OPEB_CI_NET_AMT_RECOG_FOREIGN" hidden="1">"c5770"</definedName>
    <definedName name="IQ_OPEB_CI_OTHER_MISC_ADJ" hidden="1">"c5768"</definedName>
    <definedName name="IQ_OPEB_CI_OTHER_MISC_ADJ_DOM" hidden="1">"c5766"</definedName>
    <definedName name="IQ_OPEB_CI_OTHER_MISC_ADJ_FOREIGN" hidden="1">"c5767"</definedName>
    <definedName name="IQ_OPEB_CI_PRIOR_SERVICE" hidden="1">"c5762"</definedName>
    <definedName name="IQ_OPEB_CI_PRIOR_SERVICE_DOM" hidden="1">"c5760"</definedName>
    <definedName name="IQ_OPEB_CI_PRIOR_SERVICE_FOREIGN" hidden="1">"c5761"</definedName>
    <definedName name="IQ_OPEB_CI_TRANSITION" hidden="1">"c5765"</definedName>
    <definedName name="IQ_OPEB_CI_TRANSITION_DOM" hidden="1">"c5763"</definedName>
    <definedName name="IQ_OPEB_CI_TRANSITION_FOREIGN" hidden="1">"c5764"</definedName>
    <definedName name="IQ_OPEB_CL" hidden="1">"c5789"</definedName>
    <definedName name="IQ_OPEB_CL_DOM" hidden="1">"c5787"</definedName>
    <definedName name="IQ_OPEB_CL_FOREIGN" hidden="1">"c5788"</definedName>
    <definedName name="IQ_OPEB_DECREASE_EFFECT_PBO" hidden="1">"c3458"</definedName>
    <definedName name="IQ_OPEB_DECREASE_EFFECT_PBO_DOM" hidden="1">"c3456"</definedName>
    <definedName name="IQ_OPEB_DECREASE_EFFECT_PBO_FOREIGN" hidden="1">"c3457"</definedName>
    <definedName name="IQ_OPEB_DECREASE_EFFECT_SERVICE_INT_COST" hidden="1">"c3455"</definedName>
    <definedName name="IQ_OPEB_DECREASE_EFFECT_SERVICE_INT_COST_DOM" hidden="1">"c3453"</definedName>
    <definedName name="IQ_OPEB_DECREASE_EFFECT_SERVICE_INT_COST_FOREIGN" hidden="1">"c3454"</definedName>
    <definedName name="IQ_OPEB_DISC_RATE_MAX" hidden="1">"c3422"</definedName>
    <definedName name="IQ_OPEB_DISC_RATE_MAX_DOM" hidden="1">"c3420"</definedName>
    <definedName name="IQ_OPEB_DISC_RATE_MAX_FOREIGN" hidden="1">"c3421"</definedName>
    <definedName name="IQ_OPEB_DISC_RATE_MIN" hidden="1">"c3419"</definedName>
    <definedName name="IQ_OPEB_DISC_RATE_MIN_DOM" hidden="1">"c3417"</definedName>
    <definedName name="IQ_OPEB_DISC_RATE_MIN_FOREIGN" hidden="1">"c3418"</definedName>
    <definedName name="IQ_OPEB_EST_BENEFIT_1YR" hidden="1">"c3287"</definedName>
    <definedName name="IQ_OPEB_EST_BENEFIT_1YR_DOM" hidden="1">"c3285"</definedName>
    <definedName name="IQ_OPEB_EST_BENEFIT_1YR_FOREIGN" hidden="1">"c3286"</definedName>
    <definedName name="IQ_OPEB_EST_BENEFIT_2YR" hidden="1">"c3290"</definedName>
    <definedName name="IQ_OPEB_EST_BENEFIT_2YR_DOM" hidden="1">"c3288"</definedName>
    <definedName name="IQ_OPEB_EST_BENEFIT_2YR_FOREIGN" hidden="1">"c3289"</definedName>
    <definedName name="IQ_OPEB_EST_BENEFIT_3YR" hidden="1">"c3293"</definedName>
    <definedName name="IQ_OPEB_EST_BENEFIT_3YR_DOM" hidden="1">"c3291"</definedName>
    <definedName name="IQ_OPEB_EST_BENEFIT_3YR_FOREIGN" hidden="1">"c3292"</definedName>
    <definedName name="IQ_OPEB_EST_BENEFIT_4YR" hidden="1">"c3296"</definedName>
    <definedName name="IQ_OPEB_EST_BENEFIT_4YR_DOM" hidden="1">"c3294"</definedName>
    <definedName name="IQ_OPEB_EST_BENEFIT_4YR_FOREIGN" hidden="1">"c3295"</definedName>
    <definedName name="IQ_OPEB_EST_BENEFIT_5YR" hidden="1">"c3299"</definedName>
    <definedName name="IQ_OPEB_EST_BENEFIT_5YR_DOM" hidden="1">"c3297"</definedName>
    <definedName name="IQ_OPEB_EST_BENEFIT_5YR_FOREIGN" hidden="1">"c3298"</definedName>
    <definedName name="IQ_OPEB_EST_BENEFIT_AFTER5" hidden="1">"c3302"</definedName>
    <definedName name="IQ_OPEB_EST_BENEFIT_AFTER5_DOM" hidden="1">"c3300"</definedName>
    <definedName name="IQ_OPEB_EST_BENEFIT_AFTER5_FOREIGN" hidden="1">"c3301"</definedName>
    <definedName name="IQ_OPEB_EXP_RATE_RETURN_MAX" hidden="1">"c3434"</definedName>
    <definedName name="IQ_OPEB_EXP_RATE_RETURN_MAX_DOM" hidden="1">"c3432"</definedName>
    <definedName name="IQ_OPEB_EXP_RATE_RETURN_MAX_FOREIGN" hidden="1">"c3433"</definedName>
    <definedName name="IQ_OPEB_EXP_RATE_RETURN_MIN" hidden="1">"c3431"</definedName>
    <definedName name="IQ_OPEB_EXP_RATE_RETURN_MIN_DOM" hidden="1">"c3429"</definedName>
    <definedName name="IQ_OPEB_EXP_RATE_RETURN_MIN_FOREIGN" hidden="1">"c3430"</definedName>
    <definedName name="IQ_OPEB_EXP_RETURN" hidden="1">"c3398"</definedName>
    <definedName name="IQ_OPEB_EXP_RETURN_DOM" hidden="1">"c3396"</definedName>
    <definedName name="IQ_OPEB_EXP_RETURN_FOREIGN" hidden="1">"c3397"</definedName>
    <definedName name="IQ_OPEB_HEALTH_COST_TREND_INITIAL" hidden="1">"c3413"</definedName>
    <definedName name="IQ_OPEB_HEALTH_COST_TREND_INITIAL_DOM" hidden="1">"c3411"</definedName>
    <definedName name="IQ_OPEB_HEALTH_COST_TREND_INITIAL_FOREIGN" hidden="1">"c3412"</definedName>
    <definedName name="IQ_OPEB_HEALTH_COST_TREND_ULTIMATE" hidden="1">"c3416"</definedName>
    <definedName name="IQ_OPEB_HEALTH_COST_TREND_ULTIMATE_DOM" hidden="1">"c3414"</definedName>
    <definedName name="IQ_OPEB_HEALTH_COST_TREND_ULTIMATE_FOREIGN" hidden="1">"c3415"</definedName>
    <definedName name="IQ_OPEB_INCREASE_EFFECT_PBO" hidden="1">"c3452"</definedName>
    <definedName name="IQ_OPEB_INCREASE_EFFECT_PBO_DOM" hidden="1">"c3450"</definedName>
    <definedName name="IQ_OPEB_INCREASE_EFFECT_PBO_FOREIGN" hidden="1">"c3451"</definedName>
    <definedName name="IQ_OPEB_INCREASE_EFFECT_SERVICE_INT_COST" hidden="1">"c3449"</definedName>
    <definedName name="IQ_OPEB_INCREASE_EFFECT_SERVICE_INT_COST_DOM" hidden="1">"c3447"</definedName>
    <definedName name="IQ_OPEB_INCREASE_EFFECT_SERVICE_INT_COST_FOREIGN" hidden="1">"c3448"</definedName>
    <definedName name="IQ_OPEB_INTAN_ASSETS" hidden="1">"c3311"</definedName>
    <definedName name="IQ_OPEB_INTAN_ASSETS_DOM" hidden="1">"c3309"</definedName>
    <definedName name="IQ_OPEB_INTAN_ASSETS_FOREIGN" hidden="1">"c3310"</definedName>
    <definedName name="IQ_OPEB_INTEREST_COST" hidden="1">"c3395"</definedName>
    <definedName name="IQ_OPEB_INTEREST_COST_DOM" hidden="1">"c3393"</definedName>
    <definedName name="IQ_OPEB_INTEREST_COST_FOREIGN" hidden="1">"c3394"</definedName>
    <definedName name="IQ_OPEB_LT_ASSETS" hidden="1">"c5786"</definedName>
    <definedName name="IQ_OPEB_LT_ASSETS_DOM" hidden="1">"c5784"</definedName>
    <definedName name="IQ_OPEB_LT_ASSETS_FOREIGN" hidden="1">"c5785"</definedName>
    <definedName name="IQ_OPEB_LT_LIAB" hidden="1">"c5792"</definedName>
    <definedName name="IQ_OPEB_LT_LIAB_DOM" hidden="1">"c5790"</definedName>
    <definedName name="IQ_OPEB_LT_LIAB_FOREIGN" hidden="1">"c5791"</definedName>
    <definedName name="IQ_OPEB_NET_ASSET_RECOG" hidden="1">"c3326"</definedName>
    <definedName name="IQ_OPEB_NET_ASSET_RECOG_DOM" hidden="1">"c3324"</definedName>
    <definedName name="IQ_OPEB_NET_ASSET_RECOG_FOREIGN" hidden="1">"c3325"</definedName>
    <definedName name="IQ_OPEB_OBLIGATION_ACCUMULATED" hidden="1">"c3407"</definedName>
    <definedName name="IQ_OPEB_OBLIGATION_ACCUMULATED_DOM" hidden="1">"c3405"</definedName>
    <definedName name="IQ_OPEB_OBLIGATION_ACCUMULATED_FOREIGN" hidden="1">"c3406"</definedName>
    <definedName name="IQ_OPEB_OBLIGATION_ACQ" hidden="1">"c3380"</definedName>
    <definedName name="IQ_OPEB_OBLIGATION_ACQ_DOM" hidden="1">"c3378"</definedName>
    <definedName name="IQ_OPEB_OBLIGATION_ACQ_FOREIGN" hidden="1">"c3379"</definedName>
    <definedName name="IQ_OPEB_OBLIGATION_ACTUARIAL_GAIN_LOSS" hidden="1">"c3371"</definedName>
    <definedName name="IQ_OPEB_OBLIGATION_ACTUARIAL_GAIN_LOSS_DOM" hidden="1">"c3369"</definedName>
    <definedName name="IQ_OPEB_OBLIGATION_ACTUARIAL_GAIN_LOSS_FOREIGN" hidden="1">"c3370"</definedName>
    <definedName name="IQ_OPEB_OBLIGATION_BEG" hidden="1">"c3359"</definedName>
    <definedName name="IQ_OPEB_OBLIGATION_BEG_DOM" hidden="1">"c3357"</definedName>
    <definedName name="IQ_OPEB_OBLIGATION_BEG_FOREIGN" hidden="1">"c3358"</definedName>
    <definedName name="IQ_OPEB_OBLIGATION_CURTAIL" hidden="1">"c3383"</definedName>
    <definedName name="IQ_OPEB_OBLIGATION_CURTAIL_DOM" hidden="1">"c3381"</definedName>
    <definedName name="IQ_OPEB_OBLIGATION_CURTAIL_FOREIGN" hidden="1">"c3382"</definedName>
    <definedName name="IQ_OPEB_OBLIGATION_EMPLOYEE_CONTRIBUTIONS" hidden="1">"c3368"</definedName>
    <definedName name="IQ_OPEB_OBLIGATION_EMPLOYEE_CONTRIBUTIONS_DOM" hidden="1">"c3366"</definedName>
    <definedName name="IQ_OPEB_OBLIGATION_EMPLOYEE_CONTRIBUTIONS_FOREIGN" hidden="1">"c3367"</definedName>
    <definedName name="IQ_OPEB_OBLIGATION_FX_ADJ" hidden="1">"c3377"</definedName>
    <definedName name="IQ_OPEB_OBLIGATION_FX_ADJ_DOM" hidden="1">"c3375"</definedName>
    <definedName name="IQ_OPEB_OBLIGATION_FX_ADJ_FOREIGN" hidden="1">"c3376"</definedName>
    <definedName name="IQ_OPEB_OBLIGATION_INTEREST_COST" hidden="1">"c3365"</definedName>
    <definedName name="IQ_OPEB_OBLIGATION_INTEREST_COST_DOM" hidden="1">"c3363"</definedName>
    <definedName name="IQ_OPEB_OBLIGATION_INTEREST_COST_FOREIGN" hidden="1">"c3364"</definedName>
    <definedName name="IQ_OPEB_OBLIGATION_OTHER_PLAN_ADJ" hidden="1">"c3386"</definedName>
    <definedName name="IQ_OPEB_OBLIGATION_OTHER_PLAN_ADJ_DOM" hidden="1">"c3384"</definedName>
    <definedName name="IQ_OPEB_OBLIGATION_OTHER_PLAN_ADJ_FOREIGN" hidden="1">"c3385"</definedName>
    <definedName name="IQ_OPEB_OBLIGATION_PAID" hidden="1">"c3374"</definedName>
    <definedName name="IQ_OPEB_OBLIGATION_PAID_DOM" hidden="1">"c3372"</definedName>
    <definedName name="IQ_OPEB_OBLIGATION_PAID_FOREIGN" hidden="1">"c3373"</definedName>
    <definedName name="IQ_OPEB_OBLIGATION_PROJECTED" hidden="1">"c3389"</definedName>
    <definedName name="IQ_OPEB_OBLIGATION_PROJECTED_DOM" hidden="1">"c3387"</definedName>
    <definedName name="IQ_OPEB_OBLIGATION_PROJECTED_FOREIGN" hidden="1">"c3388"</definedName>
    <definedName name="IQ_OPEB_OBLIGATION_SERVICE_COST" hidden="1">"c3362"</definedName>
    <definedName name="IQ_OPEB_OBLIGATION_SERVICE_COST_DOM" hidden="1">"c3360"</definedName>
    <definedName name="IQ_OPEB_OBLIGATION_SERVICE_COST_FOREIGN" hidden="1">"c3361"</definedName>
    <definedName name="IQ_OPEB_OTHER" hidden="1">"c3317"</definedName>
    <definedName name="IQ_OPEB_OTHER_ADJ" hidden="1">"c3323"</definedName>
    <definedName name="IQ_OPEB_OTHER_ADJ_DOM" hidden="1">"c3321"</definedName>
    <definedName name="IQ_OPEB_OTHER_ADJ_FOREIGN" hidden="1">"c3322"</definedName>
    <definedName name="IQ_OPEB_OTHER_COST" hidden="1">"c3401"</definedName>
    <definedName name="IQ_OPEB_OTHER_COST_DOM" hidden="1">"c3399"</definedName>
    <definedName name="IQ_OPEB_OTHER_COST_FOREIGN" hidden="1">"c3400"</definedName>
    <definedName name="IQ_OPEB_OTHER_DOM" hidden="1">"c3315"</definedName>
    <definedName name="IQ_OPEB_OTHER_FOREIGN" hidden="1">"c3316"</definedName>
    <definedName name="IQ_OPEB_PBO_ASSUMED_RATE_RET_MAX" hidden="1">"c3440"</definedName>
    <definedName name="IQ_OPEB_PBO_ASSUMED_RATE_RET_MAX_DOM" hidden="1">"c3438"</definedName>
    <definedName name="IQ_OPEB_PBO_ASSUMED_RATE_RET_MAX_FOREIGN" hidden="1">"c3439"</definedName>
    <definedName name="IQ_OPEB_PBO_ASSUMED_RATE_RET_MIN" hidden="1">"c3437"</definedName>
    <definedName name="IQ_OPEB_PBO_ASSUMED_RATE_RET_MIN_DOM" hidden="1">"c3435"</definedName>
    <definedName name="IQ_OPEB_PBO_ASSUMED_RATE_RET_MIN_FOREIGN" hidden="1">"c3436"</definedName>
    <definedName name="IQ_OPEB_PBO_RATE_COMP_INCREASE_MAX" hidden="1">"c3446"</definedName>
    <definedName name="IQ_OPEB_PBO_RATE_COMP_INCREASE_MAX_DOM" hidden="1">"c3444"</definedName>
    <definedName name="IQ_OPEB_PBO_RATE_COMP_INCREASE_MAX_FOREIGN" hidden="1">"c3445"</definedName>
    <definedName name="IQ_OPEB_PBO_RATE_COMP_INCREASE_MIN" hidden="1">"c3443"</definedName>
    <definedName name="IQ_OPEB_PBO_RATE_COMP_INCREASE_MIN_DOM" hidden="1">"c3441"</definedName>
    <definedName name="IQ_OPEB_PBO_RATE_COMP_INCREASE_MIN_FOREIGN" hidden="1">"c3442"</definedName>
    <definedName name="IQ_OPEB_PREPAID_COST" hidden="1">"c3305"</definedName>
    <definedName name="IQ_OPEB_PREPAID_COST_DOM" hidden="1">"c3303"</definedName>
    <definedName name="IQ_OPEB_PREPAID_COST_FOREIGN" hidden="1">"c3304"</definedName>
    <definedName name="IQ_OPEB_PRIOR_SERVICE_NEXT" hidden="1">"c5777"</definedName>
    <definedName name="IQ_OPEB_PRIOR_SERVICE_NEXT_DOM" hidden="1">"c5775"</definedName>
    <definedName name="IQ_OPEB_PRIOR_SERVICE_NEXT_FOREIGN" hidden="1">"c5776"</definedName>
    <definedName name="IQ_OPEB_RATE_COMP_INCREASE_MAX" hidden="1">"c3428"</definedName>
    <definedName name="IQ_OPEB_RATE_COMP_INCREASE_MAX_DOM" hidden="1">"c3426"</definedName>
    <definedName name="IQ_OPEB_RATE_COMP_INCREASE_MAX_FOREIGN" hidden="1">"c3427"</definedName>
    <definedName name="IQ_OPEB_RATE_COMP_INCREASE_MIN" hidden="1">"c3425"</definedName>
    <definedName name="IQ_OPEB_RATE_COMP_INCREASE_MIN_DOM" hidden="1">"c3423"</definedName>
    <definedName name="IQ_OPEB_RATE_COMP_INCREASE_MIN_FOREIGN" hidden="1">"c3424"</definedName>
    <definedName name="IQ_OPEB_SERVICE_COST" hidden="1">"c3392"</definedName>
    <definedName name="IQ_OPEB_SERVICE_COST_DOM" hidden="1">"c3390"</definedName>
    <definedName name="IQ_OPEB_SERVICE_COST_FOREIGN" hidden="1">"c3391"</definedName>
    <definedName name="IQ_OPEB_TOTAL_COST" hidden="1">"c3404"</definedName>
    <definedName name="IQ_OPEB_TOTAL_COST_DOM" hidden="1">"c3402"</definedName>
    <definedName name="IQ_OPEB_TOTAL_COST_FOREIGN" hidden="1">"c3403"</definedName>
    <definedName name="IQ_OPEB_TRANSITION_NEXT" hidden="1">"c5780"</definedName>
    <definedName name="IQ_OPEB_TRANSITION_NEXT_DOM" hidden="1">"c5778"</definedName>
    <definedName name="IQ_OPEB_TRANSITION_NEXT_FOREIGN" hidden="1">"c5779"</definedName>
    <definedName name="IQ_OPEB_UNRECOG_PRIOR" hidden="1">"c3320"</definedName>
    <definedName name="IQ_OPEB_UNRECOG_PRIOR_DOM" hidden="1">"c3318"</definedName>
    <definedName name="IQ_OPEB_UNRECOG_PRIOR_FOREIGN" hidden="1">"c3319"</definedName>
    <definedName name="IQ_OPENPRICE" hidden="1">"c848"</definedName>
    <definedName name="IQ_OPER_INC" hidden="1">"c849"</definedName>
    <definedName name="IQ_OPER_INC_ACT_OR_EST" hidden="1">"c2220"</definedName>
    <definedName name="IQ_OPER_INC_ACT_OR_EST_REUT" hidden="1">"c5466"</definedName>
    <definedName name="IQ_OPER_INC_BR" hidden="1">"c850"</definedName>
    <definedName name="IQ_OPER_INC_EST" hidden="1">"c1688"</definedName>
    <definedName name="IQ_OPER_INC_EST_REUT" hidden="1">"c5340"</definedName>
    <definedName name="IQ_OPER_INC_FIN" hidden="1">"c851"</definedName>
    <definedName name="IQ_OPER_INC_HIGH_EST" hidden="1">"c1690"</definedName>
    <definedName name="IQ_OPER_INC_HIGH_EST_REUT" hidden="1">"c5342"</definedName>
    <definedName name="IQ_OPER_INC_INS" hidden="1">"c852"</definedName>
    <definedName name="IQ_OPER_INC_LOW_EST" hidden="1">"c1691"</definedName>
    <definedName name="IQ_OPER_INC_LOW_EST_REUT" hidden="1">"c5343"</definedName>
    <definedName name="IQ_OPER_INC_MARGIN" hidden="1">"c1448"</definedName>
    <definedName name="IQ_OPER_INC_MEDIAN_EST" hidden="1">"c1689"</definedName>
    <definedName name="IQ_OPER_INC_MEDIAN_EST_REUT" hidden="1">"c5341"</definedName>
    <definedName name="IQ_OPER_INC_NUM_EST" hidden="1">"c1692"</definedName>
    <definedName name="IQ_OPER_INC_NUM_EST_REUT" hidden="1">"c5344"</definedName>
    <definedName name="IQ_OPER_INC_RE" hidden="1">"c6240"</definedName>
    <definedName name="IQ_OPER_INC_REIT" hidden="1">"c853"</definedName>
    <definedName name="IQ_OPER_INC_STDDEV_EST" hidden="1">"c1693"</definedName>
    <definedName name="IQ_OPER_INC_STDDEV_EST_REUT" hidden="1">"c5345"</definedName>
    <definedName name="IQ_OPER_INC_UTI" hidden="1">"c854"</definedName>
    <definedName name="IQ_OPERATIONS_EXP" hidden="1">"c855"</definedName>
    <definedName name="IQ_OPTIONS_BEG_OS" hidden="1">"c1572"</definedName>
    <definedName name="IQ_OPTIONS_CANCELLED" hidden="1">"c856"</definedName>
    <definedName name="IQ_OPTIONS_END_OS" hidden="1">"c1573"</definedName>
    <definedName name="IQ_OPTIONS_EXERCISABLE_END_OS" hidden="1">"c5804"</definedName>
    <definedName name="IQ_OPTIONS_EXERCISED" hidden="1">"c2116"</definedName>
    <definedName name="IQ_OPTIONS_GRANTED" hidden="1">"c2673"</definedName>
    <definedName name="IQ_OPTIONS_ISSUED" hidden="1">"c857"</definedName>
    <definedName name="IQ_OPTIONS_STRIKE_PRICE_BEG_OS" hidden="1">"c5805"</definedName>
    <definedName name="IQ_OPTIONS_STRIKE_PRICE_CANCELLED" hidden="1">"c5807"</definedName>
    <definedName name="IQ_OPTIONS_STRIKE_PRICE_EXERCISABLE" hidden="1">"c5808"</definedName>
    <definedName name="IQ_OPTIONS_STRIKE_PRICE_EXERCISED" hidden="1">"c5806"</definedName>
    <definedName name="IQ_OPTIONS_STRIKE_PRICE_GRANTED" hidden="1">"c2678"</definedName>
    <definedName name="IQ_OPTIONS_STRIKE_PRICE_OS" hidden="1">"c2677"</definedName>
    <definedName name="IQ_ORDER_BACKLOG" hidden="1">"c2090"</definedName>
    <definedName name="IQ_OTHER_ADJUST_GROSS_LOANS" hidden="1">"c859"</definedName>
    <definedName name="IQ_OTHER_AMORT" hidden="1">"c5563"</definedName>
    <definedName name="IQ_OTHER_AMORT_BNK" hidden="1">"c5565"</definedName>
    <definedName name="IQ_OTHER_AMORT_BR" hidden="1">"c5566"</definedName>
    <definedName name="IQ_OTHER_AMORT_FIN" hidden="1">"c5567"</definedName>
    <definedName name="IQ_OTHER_AMORT_INS" hidden="1">"c5568"</definedName>
    <definedName name="IQ_OTHER_AMORT_RE" hidden="1">"c6287"</definedName>
    <definedName name="IQ_OTHER_AMORT_REIT" hidden="1">"c5569"</definedName>
    <definedName name="IQ_OTHER_AMORT_UTI" hidden="1">"c5570"</definedName>
    <definedName name="IQ_OTHER_ASSETS" hidden="1">"c860"</definedName>
    <definedName name="IQ_OTHER_ASSETS_BNK" hidden="1">"c861"</definedName>
    <definedName name="IQ_OTHER_ASSETS_BR" hidden="1">"c862"</definedName>
    <definedName name="IQ_OTHER_ASSETS_FIN" hidden="1">"c863"</definedName>
    <definedName name="IQ_OTHER_ASSETS_INS" hidden="1">"c864"</definedName>
    <definedName name="IQ_OTHER_ASSETS_RE" hidden="1">"c6241"</definedName>
    <definedName name="IQ_OTHER_ASSETS_REIT" hidden="1">"c865"</definedName>
    <definedName name="IQ_OTHER_ASSETS_SERV_RIGHTS" hidden="1">"c2243"</definedName>
    <definedName name="IQ_OTHER_ASSETS_UTI" hidden="1">"c866"</definedName>
    <definedName name="IQ_OTHER_BEARING_LIAB" hidden="1">"c1608"</definedName>
    <definedName name="IQ_OTHER_BENEFITS_OBLIGATION" hidden="1">"c867"</definedName>
    <definedName name="IQ_OTHER_CA" hidden="1">"c868"</definedName>
    <definedName name="IQ_OTHER_CA_SUPPL" hidden="1">"c869"</definedName>
    <definedName name="IQ_OTHER_CA_SUPPL_BNK" hidden="1">"c870"</definedName>
    <definedName name="IQ_OTHER_CA_SUPPL_BR" hidden="1">"c871"</definedName>
    <definedName name="IQ_OTHER_CA_SUPPL_FIN" hidden="1">"c872"</definedName>
    <definedName name="IQ_OTHER_CA_SUPPL_INS" hidden="1">"c873"</definedName>
    <definedName name="IQ_OTHER_CA_SUPPL_RE" hidden="1">"c6242"</definedName>
    <definedName name="IQ_OTHER_CA_SUPPL_REIT" hidden="1">"c874"</definedName>
    <definedName name="IQ_OTHER_CA_SUPPL_UTI" hidden="1">"c875"</definedName>
    <definedName name="IQ_OTHER_CA_UTI" hidden="1">"c876"</definedName>
    <definedName name="IQ_OTHER_CL" hidden="1">"c877"</definedName>
    <definedName name="IQ_OTHER_CL_SUPPL" hidden="1">"c878"</definedName>
    <definedName name="IQ_OTHER_CL_SUPPL_BNK" hidden="1">"c879"</definedName>
    <definedName name="IQ_OTHER_CL_SUPPL_BR" hidden="1">"c880"</definedName>
    <definedName name="IQ_OTHER_CL_SUPPL_FIN" hidden="1">"c881"</definedName>
    <definedName name="IQ_OTHER_CL_SUPPL_INS" hidden="1">"C6021"</definedName>
    <definedName name="IQ_OTHER_CL_SUPPL_RE" hidden="1">"c6243"</definedName>
    <definedName name="IQ_OTHER_CL_SUPPL_REIT" hidden="1">"c882"</definedName>
    <definedName name="IQ_OTHER_CL_SUPPL_UTI" hidden="1">"c883"</definedName>
    <definedName name="IQ_OTHER_CL_UTI" hidden="1">"c884"</definedName>
    <definedName name="IQ_OTHER_CURRENT_ASSETS" hidden="1">"c1403"</definedName>
    <definedName name="IQ_OTHER_CURRENT_LIAB" hidden="1">"c1404"</definedName>
    <definedName name="IQ_OTHER_DEBT" hidden="1">"c2507"</definedName>
    <definedName name="IQ_OTHER_DEBT_PCT" hidden="1">"c2508"</definedName>
    <definedName name="IQ_OTHER_DEP" hidden="1">"c885"</definedName>
    <definedName name="IQ_OTHER_EARNING" hidden="1">"c1609"</definedName>
    <definedName name="IQ_OTHER_EQUITY" hidden="1">"c886"</definedName>
    <definedName name="IQ_OTHER_EQUITY_BNK" hidden="1">"c887"</definedName>
    <definedName name="IQ_OTHER_EQUITY_BR" hidden="1">"c888"</definedName>
    <definedName name="IQ_OTHER_EQUITY_FIN" hidden="1">"c889"</definedName>
    <definedName name="IQ_OTHER_EQUITY_INS" hidden="1">"c890"</definedName>
    <definedName name="IQ_OTHER_EQUITY_RE" hidden="1">"c6244"</definedName>
    <definedName name="IQ_OTHER_EQUITY_REIT" hidden="1">"c891"</definedName>
    <definedName name="IQ_OTHER_EQUITY_UTI" hidden="1">"c892"</definedName>
    <definedName name="IQ_OTHER_FINANCE_ACT" hidden="1">"c893"</definedName>
    <definedName name="IQ_OTHER_FINANCE_ACT_BNK" hidden="1">"c894"</definedName>
    <definedName name="IQ_OTHER_FINANCE_ACT_BR" hidden="1">"c895"</definedName>
    <definedName name="IQ_OTHER_FINANCE_ACT_FIN" hidden="1">"c896"</definedName>
    <definedName name="IQ_OTHER_FINANCE_ACT_INS" hidden="1">"c897"</definedName>
    <definedName name="IQ_OTHER_FINANCE_ACT_RE" hidden="1">"c6245"</definedName>
    <definedName name="IQ_OTHER_FINANCE_ACT_REIT" hidden="1">"c898"</definedName>
    <definedName name="IQ_OTHER_FINANCE_ACT_SUPPL" hidden="1">"c899"</definedName>
    <definedName name="IQ_OTHER_FINANCE_ACT_SUPPL_BNK" hidden="1">"c900"</definedName>
    <definedName name="IQ_OTHER_FINANCE_ACT_SUPPL_BR" hidden="1">"c901"</definedName>
    <definedName name="IQ_OTHER_FINANCE_ACT_SUPPL_FIN" hidden="1">"c902"</definedName>
    <definedName name="IQ_OTHER_FINANCE_ACT_SUPPL_INS" hidden="1">"c903"</definedName>
    <definedName name="IQ_OTHER_FINANCE_ACT_SUPPL_RE" hidden="1">"c6246"</definedName>
    <definedName name="IQ_OTHER_FINANCE_ACT_SUPPL_REIT" hidden="1">"c904"</definedName>
    <definedName name="IQ_OTHER_FINANCE_ACT_SUPPL_UTI" hidden="1">"c905"</definedName>
    <definedName name="IQ_OTHER_FINANCE_ACT_UTI" hidden="1">"c906"</definedName>
    <definedName name="IQ_OTHER_INTAN" hidden="1">"c907"</definedName>
    <definedName name="IQ_OTHER_INTAN_BNK" hidden="1">"c908"</definedName>
    <definedName name="IQ_OTHER_INTAN_BR" hidden="1">"c909"</definedName>
    <definedName name="IQ_OTHER_INTAN_FIN" hidden="1">"c910"</definedName>
    <definedName name="IQ_OTHER_INTAN_INS" hidden="1">"c911"</definedName>
    <definedName name="IQ_OTHER_INTAN_RE" hidden="1">"c6247"</definedName>
    <definedName name="IQ_OTHER_INTAN_REIT" hidden="1">"c912"</definedName>
    <definedName name="IQ_OTHER_INTAN_UTI" hidden="1">"c913"</definedName>
    <definedName name="IQ_OTHER_INV" hidden="1">"c914"</definedName>
    <definedName name="IQ_OTHER_INVEST" hidden="1">"c915"</definedName>
    <definedName name="IQ_OTHER_INVEST_ACT" hidden="1">"c916"</definedName>
    <definedName name="IQ_OTHER_INVEST_ACT_BNK" hidden="1">"c917"</definedName>
    <definedName name="IQ_OTHER_INVEST_ACT_BR" hidden="1">"c918"</definedName>
    <definedName name="IQ_OTHER_INVEST_ACT_FIN" hidden="1">"c919"</definedName>
    <definedName name="IQ_OTHER_INVEST_ACT_INS" hidden="1">"c920"</definedName>
    <definedName name="IQ_OTHER_INVEST_ACT_RE" hidden="1">"c6248"</definedName>
    <definedName name="IQ_OTHER_INVEST_ACT_REIT" hidden="1">"c921"</definedName>
    <definedName name="IQ_OTHER_INVEST_ACT_SUPPL" hidden="1">"c922"</definedName>
    <definedName name="IQ_OTHER_INVEST_ACT_SUPPL_BNK" hidden="1">"c923"</definedName>
    <definedName name="IQ_OTHER_INVEST_ACT_SUPPL_BR" hidden="1">"c924"</definedName>
    <definedName name="IQ_OTHER_INVEST_ACT_SUPPL_FIN" hidden="1">"c925"</definedName>
    <definedName name="IQ_OTHER_INVEST_ACT_SUPPL_INS" hidden="1">"c926"</definedName>
    <definedName name="IQ_OTHER_INVEST_ACT_SUPPL_RE" hidden="1">"c6249"</definedName>
    <definedName name="IQ_OTHER_INVEST_ACT_SUPPL_REIT" hidden="1">"c927"</definedName>
    <definedName name="IQ_OTHER_INVEST_ACT_SUPPL_UTI" hidden="1">"c928"</definedName>
    <definedName name="IQ_OTHER_INVEST_ACT_UTI" hidden="1">"c929"</definedName>
    <definedName name="IQ_OTHER_INVESTING" hidden="1">"c1408"</definedName>
    <definedName name="IQ_OTHER_LIAB" hidden="1">"c930"</definedName>
    <definedName name="IQ_OTHER_LIAB_BNK" hidden="1">"c931"</definedName>
    <definedName name="IQ_OTHER_LIAB_BR" hidden="1">"c932"</definedName>
    <definedName name="IQ_OTHER_LIAB_FIN" hidden="1">"c933"</definedName>
    <definedName name="IQ_OTHER_LIAB_INS" hidden="1">"c934"</definedName>
    <definedName name="IQ_OTHER_LIAB_LT" hidden="1">"c935"</definedName>
    <definedName name="IQ_OTHER_LIAB_LT_BNK" hidden="1">"c936"</definedName>
    <definedName name="IQ_OTHER_LIAB_LT_BR" hidden="1">"c937"</definedName>
    <definedName name="IQ_OTHER_LIAB_LT_FIN" hidden="1">"c938"</definedName>
    <definedName name="IQ_OTHER_LIAB_LT_INS" hidden="1">"c939"</definedName>
    <definedName name="IQ_OTHER_LIAB_LT_RE" hidden="1">"c6250"</definedName>
    <definedName name="IQ_OTHER_LIAB_LT_REIT" hidden="1">"c940"</definedName>
    <definedName name="IQ_OTHER_LIAB_LT_UTI" hidden="1">"c941"</definedName>
    <definedName name="IQ_OTHER_LIAB_RE" hidden="1">"c6251"</definedName>
    <definedName name="IQ_OTHER_LIAB_REIT" hidden="1">"c942"</definedName>
    <definedName name="IQ_OTHER_LIAB_UTI" hidden="1">"c943"</definedName>
    <definedName name="IQ_OTHER_LIAB_WRITTEN" hidden="1">"c944"</definedName>
    <definedName name="IQ_OTHER_LOANS" hidden="1">"c945"</definedName>
    <definedName name="IQ_OTHER_LONG_TERM" hidden="1">"c1409"</definedName>
    <definedName name="IQ_OTHER_LT_ASSETS" hidden="1">"c946"</definedName>
    <definedName name="IQ_OTHER_LT_ASSETS_BNK" hidden="1">"c947"</definedName>
    <definedName name="IQ_OTHER_LT_ASSETS_BR" hidden="1">"c948"</definedName>
    <definedName name="IQ_OTHER_LT_ASSETS_FIN" hidden="1">"c949"</definedName>
    <definedName name="IQ_OTHER_LT_ASSETS_INS" hidden="1">"c950"</definedName>
    <definedName name="IQ_OTHER_LT_ASSETS_RE" hidden="1">"c6252"</definedName>
    <definedName name="IQ_OTHER_LT_ASSETS_REIT" hidden="1">"c951"</definedName>
    <definedName name="IQ_OTHER_LT_ASSETS_UTI" hidden="1">"c952"</definedName>
    <definedName name="IQ_OTHER_NET" hidden="1">"c1453"</definedName>
    <definedName name="IQ_OTHER_NON_INT_EXP" hidden="1">"c953"</definedName>
    <definedName name="IQ_OTHER_NON_INT_EXP_TOTAL" hidden="1">"c954"</definedName>
    <definedName name="IQ_OTHER_NON_INT_INC" hidden="1">"c955"</definedName>
    <definedName name="IQ_OTHER_NON_OPER_EXP" hidden="1">"c956"</definedName>
    <definedName name="IQ_OTHER_NON_OPER_EXP_BR" hidden="1">"c957"</definedName>
    <definedName name="IQ_OTHER_NON_OPER_EXP_FIN" hidden="1">"c958"</definedName>
    <definedName name="IQ_OTHER_NON_OPER_EXP_INS" hidden="1">"c959"</definedName>
    <definedName name="IQ_OTHER_NON_OPER_EXP_RE" hidden="1">"c6253"</definedName>
    <definedName name="IQ_OTHER_NON_OPER_EXP_REIT" hidden="1">"c960"</definedName>
    <definedName name="IQ_OTHER_NON_OPER_EXP_SUPPL" hidden="1">"c961"</definedName>
    <definedName name="IQ_OTHER_NON_OPER_EXP_SUPPL_BR" hidden="1">"c962"</definedName>
    <definedName name="IQ_OTHER_NON_OPER_EXP_SUPPL_FIN" hidden="1">"c963"</definedName>
    <definedName name="IQ_OTHER_NON_OPER_EXP_SUPPL_INS" hidden="1">"c964"</definedName>
    <definedName name="IQ_OTHER_NON_OPER_EXP_SUPPL_RE" hidden="1">"c6254"</definedName>
    <definedName name="IQ_OTHER_NON_OPER_EXP_SUPPL_REIT" hidden="1">"c965"</definedName>
    <definedName name="IQ_OTHER_NON_OPER_EXP_SUPPL_UTI" hidden="1">"c966"</definedName>
    <definedName name="IQ_OTHER_NON_OPER_EXP_UTI" hidden="1">"c967"</definedName>
    <definedName name="IQ_OTHER_OPER" hidden="1">"c982"</definedName>
    <definedName name="IQ_OTHER_OPER_ACT" hidden="1">"c983"</definedName>
    <definedName name="IQ_OTHER_OPER_ACT_BNK" hidden="1">"c984"</definedName>
    <definedName name="IQ_OTHER_OPER_ACT_BR" hidden="1">"c985"</definedName>
    <definedName name="IQ_OTHER_OPER_ACT_FIN" hidden="1">"c986"</definedName>
    <definedName name="IQ_OTHER_OPER_ACT_INS" hidden="1">"c987"</definedName>
    <definedName name="IQ_OTHER_OPER_ACT_RE" hidden="1">"c6255"</definedName>
    <definedName name="IQ_OTHER_OPER_ACT_REIT" hidden="1">"c988"</definedName>
    <definedName name="IQ_OTHER_OPER_ACT_UTI" hidden="1">"c989"</definedName>
    <definedName name="IQ_OTHER_OPER_BR" hidden="1">"c990"</definedName>
    <definedName name="IQ_OTHER_OPER_FIN" hidden="1">"c991"</definedName>
    <definedName name="IQ_OTHER_OPER_INS" hidden="1">"c992"</definedName>
    <definedName name="IQ_OTHER_OPER_RE" hidden="1">"c6256"</definedName>
    <definedName name="IQ_OTHER_OPER_REIT" hidden="1">"c993"</definedName>
    <definedName name="IQ_OTHER_OPER_SUPPL_BR" hidden="1">"c994"</definedName>
    <definedName name="IQ_OTHER_OPER_SUPPL_FIN" hidden="1">"c995"</definedName>
    <definedName name="IQ_OTHER_OPER_SUPPL_INS" hidden="1">"c996"</definedName>
    <definedName name="IQ_OTHER_OPER_SUPPL_RE" hidden="1">"c6257"</definedName>
    <definedName name="IQ_OTHER_OPER_SUPPL_REIT" hidden="1">"c997"</definedName>
    <definedName name="IQ_OTHER_OPER_SUPPL_UTI" hidden="1">"c998"</definedName>
    <definedName name="IQ_OTHER_OPER_TOT_BNK" hidden="1">"c999"</definedName>
    <definedName name="IQ_OTHER_OPER_TOT_BR" hidden="1">"c1000"</definedName>
    <definedName name="IQ_OTHER_OPER_TOT_FIN" hidden="1">"c1001"</definedName>
    <definedName name="IQ_OTHER_OPER_TOT_INS" hidden="1">"c1002"</definedName>
    <definedName name="IQ_OTHER_OPER_TOT_RE" hidden="1">"c6258"</definedName>
    <definedName name="IQ_OTHER_OPER_TOT_REIT" hidden="1">"c1003"</definedName>
    <definedName name="IQ_OTHER_OPER_TOT_UTI" hidden="1">"c1004"</definedName>
    <definedName name="IQ_OTHER_OPER_UTI" hidden="1">"c1005"</definedName>
    <definedName name="IQ_OTHER_OPTIONS_BEG_OS" hidden="1">"c2686"</definedName>
    <definedName name="IQ_OTHER_OPTIONS_CANCELLED" hidden="1">"c2689"</definedName>
    <definedName name="IQ_OTHER_OPTIONS_END_OS" hidden="1">"c2690"</definedName>
    <definedName name="IQ_OTHER_OPTIONS_EXERCISABLE_END_OS" hidden="1">"c5814"</definedName>
    <definedName name="IQ_OTHER_OPTIONS_EXERCISED" hidden="1">"c2688"</definedName>
    <definedName name="IQ_OTHER_OPTIONS_GRANTED" hidden="1">"c2687"</definedName>
    <definedName name="IQ_OTHER_OPTIONS_STRIKE_PRICE_BEG_OS" hidden="1">"c5815"</definedName>
    <definedName name="IQ_OTHER_OPTIONS_STRIKE_PRICE_CANCELLED" hidden="1">"c5817"</definedName>
    <definedName name="IQ_OTHER_OPTIONS_STRIKE_PRICE_EXERCISABLE" hidden="1">"c5818"</definedName>
    <definedName name="IQ_OTHER_OPTIONS_STRIKE_PRICE_EXERCISED" hidden="1">"c5816"</definedName>
    <definedName name="IQ_OTHER_OPTIONS_STRIKE_PRICE_OS" hidden="1">"c2691"</definedName>
    <definedName name="IQ_OTHER_OUTSTANDING_BS_DATE" hidden="1">"c1972"</definedName>
    <definedName name="IQ_OTHER_OUTSTANDING_FILING_DATE" hidden="1">"c1974"</definedName>
    <definedName name="IQ_OTHER_PC_WRITTEN" hidden="1">"c1006"</definedName>
    <definedName name="IQ_OTHER_REAL_ESTATE" hidden="1">"c1007"</definedName>
    <definedName name="IQ_OTHER_RECEIV" hidden="1">"c1008"</definedName>
    <definedName name="IQ_OTHER_RECEIV_INS" hidden="1">"c1009"</definedName>
    <definedName name="IQ_OTHER_REV" hidden="1">"c1010"</definedName>
    <definedName name="IQ_OTHER_REV_BR" hidden="1">"c1011"</definedName>
    <definedName name="IQ_OTHER_REV_FIN" hidden="1">"c1012"</definedName>
    <definedName name="IQ_OTHER_REV_INS" hidden="1">"c1013"</definedName>
    <definedName name="IQ_OTHER_REV_RE" hidden="1">"c6259"</definedName>
    <definedName name="IQ_OTHER_REV_REIT" hidden="1">"c1014"</definedName>
    <definedName name="IQ_OTHER_REV_SUPPL" hidden="1">"c1015"</definedName>
    <definedName name="IQ_OTHER_REV_SUPPL_BR" hidden="1">"c1016"</definedName>
    <definedName name="IQ_OTHER_REV_SUPPL_FIN" hidden="1">"c1017"</definedName>
    <definedName name="IQ_OTHER_REV_SUPPL_INS" hidden="1">"c1018"</definedName>
    <definedName name="IQ_OTHER_REV_SUPPL_RE" hidden="1">"c6260"</definedName>
    <definedName name="IQ_OTHER_REV_SUPPL_REIT" hidden="1">"c1019"</definedName>
    <definedName name="IQ_OTHER_REV_SUPPL_UTI" hidden="1">"c1020"</definedName>
    <definedName name="IQ_OTHER_REV_UTI" hidden="1">"c1021"</definedName>
    <definedName name="IQ_OTHER_REVENUE" hidden="1">"c1410"</definedName>
    <definedName name="IQ_OTHER_STRIKE_PRICE_GRANTED" hidden="1">"c2692"</definedName>
    <definedName name="IQ_OTHER_UNDRAWN" hidden="1">"c2522"</definedName>
    <definedName name="IQ_OTHER_UNUSUAL" hidden="1">"c1488"</definedName>
    <definedName name="IQ_OTHER_UNUSUAL_BNK" hidden="1">"c1560"</definedName>
    <definedName name="IQ_OTHER_UNUSUAL_BR" hidden="1">"c1561"</definedName>
    <definedName name="IQ_OTHER_UNUSUAL_FIN" hidden="1">"c1562"</definedName>
    <definedName name="IQ_OTHER_UNUSUAL_INS" hidden="1">"c1563"</definedName>
    <definedName name="IQ_OTHER_UNUSUAL_RE" hidden="1">"c6282"</definedName>
    <definedName name="IQ_OTHER_UNUSUAL_REIT" hidden="1">"c1564"</definedName>
    <definedName name="IQ_OTHER_UNUSUAL_SUPPL" hidden="1">"c1494"</definedName>
    <definedName name="IQ_OTHER_UNUSUAL_SUPPL_BNK" hidden="1">"c1495"</definedName>
    <definedName name="IQ_OTHER_UNUSUAL_SUPPL_BR" hidden="1">"c1496"</definedName>
    <definedName name="IQ_OTHER_UNUSUAL_SUPPL_FIN" hidden="1">"c1497"</definedName>
    <definedName name="IQ_OTHER_UNUSUAL_SUPPL_INS" hidden="1">"c1498"</definedName>
    <definedName name="IQ_OTHER_UNUSUAL_SUPPL_RE" hidden="1">"c6281"</definedName>
    <definedName name="IQ_OTHER_UNUSUAL_SUPPL_REIT" hidden="1">"c1499"</definedName>
    <definedName name="IQ_OTHER_UNUSUAL_SUPPL_UTI" hidden="1">"c1500"</definedName>
    <definedName name="IQ_OTHER_UNUSUAL_UTI" hidden="1">"c1565"</definedName>
    <definedName name="IQ_OTHER_WARRANTS_BEG_OS" hidden="1">"c2712"</definedName>
    <definedName name="IQ_OTHER_WARRANTS_CANCELLED" hidden="1">"c2715"</definedName>
    <definedName name="IQ_OTHER_WARRANTS_END_OS" hidden="1">"c2716"</definedName>
    <definedName name="IQ_OTHER_WARRANTS_EXERCISED" hidden="1">"c2714"</definedName>
    <definedName name="IQ_OTHER_WARRANTS_ISSUED" hidden="1">"c2713"</definedName>
    <definedName name="IQ_OTHER_WARRANTS_STRIKE_PRICE_ISSUED" hidden="1">"c2718"</definedName>
    <definedName name="IQ_OTHER_WARRANTS_STRIKE_PRICE_OS" hidden="1">"c2717"</definedName>
    <definedName name="IQ_OUTSTANDING_BS_DATE" hidden="1">"c2128"</definedName>
    <definedName name="IQ_OUTSTANDING_FILING_DATE" hidden="1">"c1023"</definedName>
    <definedName name="IQ_OWNERSHIP" hidden="1">"c2160"</definedName>
    <definedName name="IQ_PART_TIME" hidden="1">"c1024"</definedName>
    <definedName name="IQ_PAY_ACCRUED" hidden="1">"c1457"</definedName>
    <definedName name="IQ_PAYOUT_RATIO" hidden="1">"c1900"</definedName>
    <definedName name="IQ_PBV" hidden="1">"c1025"</definedName>
    <definedName name="IQ_PBV_AVG" hidden="1">"c1026"</definedName>
    <definedName name="IQ_PC_EARNED" hidden="1">"c2749"</definedName>
    <definedName name="IQ_PC_GAAP_COMBINED_RATIO" hidden="1">"c2781"</definedName>
    <definedName name="IQ_PC_GAAP_COMBINED_RATIO_EXCL_CL" hidden="1">"c2782"</definedName>
    <definedName name="IQ_PC_GAAP_EXPENSE_RATIO" hidden="1">"c2780"</definedName>
    <definedName name="IQ_PC_GAAP_LOSS" hidden="1">"c2779"</definedName>
    <definedName name="IQ_PC_POLICY_BENEFITS_EXP" hidden="1">"c2790"</definedName>
    <definedName name="IQ_PC_STAT_COMBINED_RATIO" hidden="1">"c2778"</definedName>
    <definedName name="IQ_PC_STAT_COMBINED_RATIO_EXCL_DIV" hidden="1">"c2777"</definedName>
    <definedName name="IQ_PC_STAT_DIVIDEND_RATIO" hidden="1">"c2776"</definedName>
    <definedName name="IQ_PC_STAT_EXPENSE_RATIO" hidden="1">"c2775"</definedName>
    <definedName name="IQ_PC_STAT_LOSS_RATIO" hidden="1">"c2774"</definedName>
    <definedName name="IQ_PC_STATUTORY_SURPLUS" hidden="1">"c2770"</definedName>
    <definedName name="IQ_PC_WRITTEN" hidden="1">"c1027"</definedName>
    <definedName name="IQ_PE_EXCL" hidden="1">"c1028"</definedName>
    <definedName name="IQ_PE_EXCL_AVG" hidden="1">"c1029"</definedName>
    <definedName name="IQ_PE_EXCL_FWD" hidden="1">"c1030"</definedName>
    <definedName name="IQ_PE_EXCL_FWD_REUT" hidden="1">"c4049"</definedName>
    <definedName name="IQ_PE_NORMALIZED" hidden="1">"c2207"</definedName>
    <definedName name="IQ_PE_RATIO" hidden="1">"c1610"</definedName>
    <definedName name="IQ_PEG_FWD" hidden="1">"c1863"</definedName>
    <definedName name="IQ_PEG_FWD_REUT" hidden="1">"c4052"</definedName>
    <definedName name="IQ_PENSION" hidden="1">"c1031"</definedName>
    <definedName name="IQ_PENSION_ACCRUED_LIAB" hidden="1">"c3134"</definedName>
    <definedName name="IQ_PENSION_ACCRUED_LIAB_DOM" hidden="1">"c3132"</definedName>
    <definedName name="IQ_PENSION_ACCRUED_LIAB_FOREIGN" hidden="1">"c3133"</definedName>
    <definedName name="IQ_PENSION_ACCUM_OTHER_CI" hidden="1">"c3140"</definedName>
    <definedName name="IQ_PENSION_ACCUM_OTHER_CI_DOM" hidden="1">"c3138"</definedName>
    <definedName name="IQ_PENSION_ACCUM_OTHER_CI_FOREIGN" hidden="1">"c3139"</definedName>
    <definedName name="IQ_PENSION_ACCUMULATED_OBLIGATION" hidden="1">"c3570"</definedName>
    <definedName name="IQ_PENSION_ACCUMULATED_OBLIGATION_DOMESTIC" hidden="1">"c3568"</definedName>
    <definedName name="IQ_PENSION_ACCUMULATED_OBLIGATION_FOREIGN" hidden="1">"c3569"</definedName>
    <definedName name="IQ_PENSION_ACT_NEXT" hidden="1">"c5738"</definedName>
    <definedName name="IQ_PENSION_ACT_NEXT_DOM" hidden="1">"c5736"</definedName>
    <definedName name="IQ_PENSION_ACT_NEXT_FOREIGN" hidden="1">"c5737"</definedName>
    <definedName name="IQ_PENSION_AMT_RECOG_NEXT_DOM" hidden="1">"c5745"</definedName>
    <definedName name="IQ_PENSION_AMT_RECOG_NEXT_FOREIGN" hidden="1">"c5746"</definedName>
    <definedName name="IQ_PENSION_AMT_RECOG_PERIOD" hidden="1">"c5747"</definedName>
    <definedName name="IQ_PENSION_ASSETS" hidden="1">"c3182"</definedName>
    <definedName name="IQ_PENSION_ASSETS_ACQ" hidden="1">"c3173"</definedName>
    <definedName name="IQ_PENSION_ASSETS_ACQ_DOM" hidden="1">"c3171"</definedName>
    <definedName name="IQ_PENSION_ASSETS_ACQ_FOREIGN" hidden="1">"c3172"</definedName>
    <definedName name="IQ_PENSION_ASSETS_ACTUAL_RETURN" hidden="1">"c3158"</definedName>
    <definedName name="IQ_PENSION_ASSETS_ACTUAL_RETURN_DOM" hidden="1">"c3156"</definedName>
    <definedName name="IQ_PENSION_ASSETS_ACTUAL_RETURN_FOREIGN" hidden="1">"c3157"</definedName>
    <definedName name="IQ_PENSION_ASSETS_BEG" hidden="1">"c3155"</definedName>
    <definedName name="IQ_PENSION_ASSETS_BEG_DOM" hidden="1">"c3153"</definedName>
    <definedName name="IQ_PENSION_ASSETS_BEG_FOREIGN" hidden="1">"c3154"</definedName>
    <definedName name="IQ_PENSION_ASSETS_BENEFITS_PAID" hidden="1">"c3167"</definedName>
    <definedName name="IQ_PENSION_ASSETS_BENEFITS_PAID_DOM" hidden="1">"c3165"</definedName>
    <definedName name="IQ_PENSION_ASSETS_BENEFITS_PAID_FOREIGN" hidden="1">"c3166"</definedName>
    <definedName name="IQ_PENSION_ASSETS_CURTAIL" hidden="1">"c3176"</definedName>
    <definedName name="IQ_PENSION_ASSETS_CURTAIL_DOM" hidden="1">"c3174"</definedName>
    <definedName name="IQ_PENSION_ASSETS_CURTAIL_FOREIGN" hidden="1">"c3175"</definedName>
    <definedName name="IQ_PENSION_ASSETS_DOM" hidden="1">"c3180"</definedName>
    <definedName name="IQ_PENSION_ASSETS_EMPLOYER_CONTRIBUTIONS" hidden="1">"c3161"</definedName>
    <definedName name="IQ_PENSION_ASSETS_EMPLOYER_CONTRIBUTIONS_DOM" hidden="1">"c3159"</definedName>
    <definedName name="IQ_PENSION_ASSETS_EMPLOYER_CONTRIBUTIONS_FOREIGN" hidden="1">"c3160"</definedName>
    <definedName name="IQ_PENSION_ASSETS_FOREIGN" hidden="1">"c3181"</definedName>
    <definedName name="IQ_PENSION_ASSETS_FX_ADJ" hidden="1">"c3170"</definedName>
    <definedName name="IQ_PENSION_ASSETS_FX_ADJ_DOM" hidden="1">"c3168"</definedName>
    <definedName name="IQ_PENSION_ASSETS_FX_ADJ_FOREIGN" hidden="1">"c3169"</definedName>
    <definedName name="IQ_PENSION_ASSETS_OTHER_PLAN_ADJ" hidden="1">"c3179"</definedName>
    <definedName name="IQ_PENSION_ASSETS_OTHER_PLAN_ADJ_DOM" hidden="1">"c3177"</definedName>
    <definedName name="IQ_PENSION_ASSETS_OTHER_PLAN_ADJ_FOREIGN" hidden="1">"c3178"</definedName>
    <definedName name="IQ_PENSION_ASSETS_PARTICIP_CONTRIBUTIONS" hidden="1">"c3164"</definedName>
    <definedName name="IQ_PENSION_ASSETS_PARTICIP_CONTRIBUTIONS_DOM" hidden="1">"c3162"</definedName>
    <definedName name="IQ_PENSION_ASSETS_PARTICIP_CONTRIBUTIONS_FOREIGN" hidden="1">"c3163"</definedName>
    <definedName name="IQ_PENSION_BENEFIT_INFO_DATE" hidden="1">"c3230"</definedName>
    <definedName name="IQ_PENSION_BENEFIT_INFO_DATE_DOM" hidden="1">"c3228"</definedName>
    <definedName name="IQ_PENSION_BENEFIT_INFO_DATE_FOREIGN" hidden="1">"c3229"</definedName>
    <definedName name="IQ_PENSION_BREAKDOWN_EQ" hidden="1">"c3101"</definedName>
    <definedName name="IQ_PENSION_BREAKDOWN_EQ_DOM" hidden="1">"c3099"</definedName>
    <definedName name="IQ_PENSION_BREAKDOWN_EQ_FOREIGN" hidden="1">"c3100"</definedName>
    <definedName name="IQ_PENSION_BREAKDOWN_FI" hidden="1">"c3104"</definedName>
    <definedName name="IQ_PENSION_BREAKDOWN_FI_DOM" hidden="1">"c3102"</definedName>
    <definedName name="IQ_PENSION_BREAKDOWN_FI_FOREIGN" hidden="1">"c3103"</definedName>
    <definedName name="IQ_PENSION_BREAKDOWN_OTHER" hidden="1">"c3110"</definedName>
    <definedName name="IQ_PENSION_BREAKDOWN_OTHER_DOM" hidden="1">"c3108"</definedName>
    <definedName name="IQ_PENSION_BREAKDOWN_OTHER_FOREIGN" hidden="1">"c3109"</definedName>
    <definedName name="IQ_PENSION_BREAKDOWN_PCT_EQ" hidden="1">"c3089"</definedName>
    <definedName name="IQ_PENSION_BREAKDOWN_PCT_EQ_DOM" hidden="1">"c3087"</definedName>
    <definedName name="IQ_PENSION_BREAKDOWN_PCT_EQ_FOREIGN" hidden="1">"c3088"</definedName>
    <definedName name="IQ_PENSION_BREAKDOWN_PCT_FI" hidden="1">"c3092"</definedName>
    <definedName name="IQ_PENSION_BREAKDOWN_PCT_FI_DOM" hidden="1">"c3090"</definedName>
    <definedName name="IQ_PENSION_BREAKDOWN_PCT_FI_FOREIGN" hidden="1">"c3091"</definedName>
    <definedName name="IQ_PENSION_BREAKDOWN_PCT_OTHER" hidden="1">"c3098"</definedName>
    <definedName name="IQ_PENSION_BREAKDOWN_PCT_OTHER_DOM" hidden="1">"c3096"</definedName>
    <definedName name="IQ_PENSION_BREAKDOWN_PCT_OTHER_FOREIGN" hidden="1">"c3097"</definedName>
    <definedName name="IQ_PENSION_BREAKDOWN_PCT_RE" hidden="1">"c3095"</definedName>
    <definedName name="IQ_PENSION_BREAKDOWN_PCT_RE_DOM" hidden="1">"c3093"</definedName>
    <definedName name="IQ_PENSION_BREAKDOWN_PCT_RE_FOREIGN" hidden="1">"c3094"</definedName>
    <definedName name="IQ_PENSION_BREAKDOWN_RE" hidden="1">"c3107"</definedName>
    <definedName name="IQ_PENSION_BREAKDOWN_RE_DOM" hidden="1">"c3105"</definedName>
    <definedName name="IQ_PENSION_BREAKDOWN_RE_FOREIGN" hidden="1">"c3106"</definedName>
    <definedName name="IQ_PENSION_CI_ACT" hidden="1">"c5723"</definedName>
    <definedName name="IQ_PENSION_CI_ACT_DOM" hidden="1">"c5721"</definedName>
    <definedName name="IQ_PENSION_CI_ACT_FOREIGN" hidden="1">"c5722"</definedName>
    <definedName name="IQ_PENSION_CI_NET_AMT_RECOG" hidden="1">"c5735"</definedName>
    <definedName name="IQ_PENSION_CI_NET_AMT_RECOG_DOM" hidden="1">"c5733"</definedName>
    <definedName name="IQ_PENSION_CI_NET_AMT_RECOG_FOREIGN" hidden="1">"c5734"</definedName>
    <definedName name="IQ_PENSION_CI_OTHER_MISC_ADJ" hidden="1">"c5732"</definedName>
    <definedName name="IQ_PENSION_CI_OTHER_MISC_ADJ_DOM" hidden="1">"c5730"</definedName>
    <definedName name="IQ_PENSION_CI_OTHER_MISC_ADJ_FOREIGN" hidden="1">"c5731"</definedName>
    <definedName name="IQ_PENSION_CI_PRIOR_SERVICE" hidden="1">"c5726"</definedName>
    <definedName name="IQ_PENSION_CI_PRIOR_SERVICE_DOM" hidden="1">"c5724"</definedName>
    <definedName name="IQ_PENSION_CI_PRIOR_SERVICE_FOREIGN" hidden="1">"c5725"</definedName>
    <definedName name="IQ_PENSION_CI_TRANSITION" hidden="1">"c5729"</definedName>
    <definedName name="IQ_PENSION_CI_TRANSITION_DOM" hidden="1">"c5727"</definedName>
    <definedName name="IQ_PENSION_CI_TRANSITION_FOREIGN" hidden="1">"c5728"</definedName>
    <definedName name="IQ_PENSION_CL" hidden="1">"c5753"</definedName>
    <definedName name="IQ_PENSION_CL_DOM" hidden="1">"c5751"</definedName>
    <definedName name="IQ_PENSION_CL_FOREIGN" hidden="1">"c5752"</definedName>
    <definedName name="IQ_PENSION_CONTRIBUTION_TOTAL_COST" hidden="1">"c3559"</definedName>
    <definedName name="IQ_PENSION_DISC_RATE_MAX" hidden="1">"c3236"</definedName>
    <definedName name="IQ_PENSION_DISC_RATE_MAX_DOM" hidden="1">"c3234"</definedName>
    <definedName name="IQ_PENSION_DISC_RATE_MAX_FOREIGN" hidden="1">"c3235"</definedName>
    <definedName name="IQ_PENSION_DISC_RATE_MIN" hidden="1">"c3233"</definedName>
    <definedName name="IQ_PENSION_DISC_RATE_MIN_DOM" hidden="1">"c3231"</definedName>
    <definedName name="IQ_PENSION_DISC_RATE_MIN_FOREIGN" hidden="1">"c3232"</definedName>
    <definedName name="IQ_PENSION_DISCOUNT_RATE_DOMESTIC" hidden="1">"c3573"</definedName>
    <definedName name="IQ_PENSION_DISCOUNT_RATE_FOREIGN" hidden="1">"c3574"</definedName>
    <definedName name="IQ_PENSION_EST_BENEFIT_1YR" hidden="1">"c3113"</definedName>
    <definedName name="IQ_PENSION_EST_BENEFIT_1YR_DOM" hidden="1">"c3111"</definedName>
    <definedName name="IQ_PENSION_EST_BENEFIT_1YR_FOREIGN" hidden="1">"c3112"</definedName>
    <definedName name="IQ_PENSION_EST_BENEFIT_2YR" hidden="1">"c3116"</definedName>
    <definedName name="IQ_PENSION_EST_BENEFIT_2YR_DOM" hidden="1">"c3114"</definedName>
    <definedName name="IQ_PENSION_EST_BENEFIT_2YR_FOREIGN" hidden="1">"c3115"</definedName>
    <definedName name="IQ_PENSION_EST_BENEFIT_3YR" hidden="1">"c3119"</definedName>
    <definedName name="IQ_PENSION_EST_BENEFIT_3YR_DOM" hidden="1">"c3117"</definedName>
    <definedName name="IQ_PENSION_EST_BENEFIT_3YR_FOREIGN" hidden="1">"c3118"</definedName>
    <definedName name="IQ_PENSION_EST_BENEFIT_4YR" hidden="1">"c3122"</definedName>
    <definedName name="IQ_PENSION_EST_BENEFIT_4YR_DOM" hidden="1">"c3120"</definedName>
    <definedName name="IQ_PENSION_EST_BENEFIT_4YR_FOREIGN" hidden="1">"c3121"</definedName>
    <definedName name="IQ_PENSION_EST_BENEFIT_5YR" hidden="1">"c3125"</definedName>
    <definedName name="IQ_PENSION_EST_BENEFIT_5YR_DOM" hidden="1">"c3123"</definedName>
    <definedName name="IQ_PENSION_EST_BENEFIT_5YR_FOREIGN" hidden="1">"c3124"</definedName>
    <definedName name="IQ_PENSION_EST_BENEFIT_AFTER5" hidden="1">"c3128"</definedName>
    <definedName name="IQ_PENSION_EST_BENEFIT_AFTER5_DOM" hidden="1">"c3126"</definedName>
    <definedName name="IQ_PENSION_EST_BENEFIT_AFTER5_FOREIGN" hidden="1">"c3127"</definedName>
    <definedName name="IQ_PENSION_EST_CONTRIBUTIONS_NEXTYR" hidden="1">"c3218"</definedName>
    <definedName name="IQ_PENSION_EST_CONTRIBUTIONS_NEXTYR_DOM" hidden="1">"c3216"</definedName>
    <definedName name="IQ_PENSION_EST_CONTRIBUTIONS_NEXTYR_FOREIGN" hidden="1">"c3217"</definedName>
    <definedName name="IQ_PENSION_EXP_RATE_RETURN_MAX" hidden="1">"c3248"</definedName>
    <definedName name="IQ_PENSION_EXP_RATE_RETURN_MAX_DOM" hidden="1">"c3246"</definedName>
    <definedName name="IQ_PENSION_EXP_RATE_RETURN_MAX_FOREIGN" hidden="1">"c3247"</definedName>
    <definedName name="IQ_PENSION_EXP_RATE_RETURN_MIN" hidden="1">"c3245"</definedName>
    <definedName name="IQ_PENSION_EXP_RATE_RETURN_MIN_DOM" hidden="1">"c3243"</definedName>
    <definedName name="IQ_PENSION_EXP_RATE_RETURN_MIN_FOREIGN" hidden="1">"c3244"</definedName>
    <definedName name="IQ_PENSION_EXP_RETURN_DOMESTIC" hidden="1">"c3571"</definedName>
    <definedName name="IQ_PENSION_EXP_RETURN_FOREIGN" hidden="1">"c3572"</definedName>
    <definedName name="IQ_PENSION_INTAN_ASSETS" hidden="1">"c3137"</definedName>
    <definedName name="IQ_PENSION_INTAN_ASSETS_DOM" hidden="1">"c3135"</definedName>
    <definedName name="IQ_PENSION_INTAN_ASSETS_FOREIGN" hidden="1">"c3136"</definedName>
    <definedName name="IQ_PENSION_INTEREST_COST" hidden="1">"c3582"</definedName>
    <definedName name="IQ_PENSION_INTEREST_COST_DOM" hidden="1">"c3580"</definedName>
    <definedName name="IQ_PENSION_INTEREST_COST_FOREIGN" hidden="1">"c3581"</definedName>
    <definedName name="IQ_PENSION_LT_ASSETS" hidden="1">"c5750"</definedName>
    <definedName name="IQ_PENSION_LT_ASSETS_DOM" hidden="1">"c5748"</definedName>
    <definedName name="IQ_PENSION_LT_ASSETS_FOREIGN" hidden="1">"c5749"</definedName>
    <definedName name="IQ_PENSION_LT_LIAB" hidden="1">"c5756"</definedName>
    <definedName name="IQ_PENSION_LT_LIAB_DOM" hidden="1">"c5754"</definedName>
    <definedName name="IQ_PENSION_LT_LIAB_FOREIGN" hidden="1">"c5755"</definedName>
    <definedName name="IQ_PENSION_NET_ASSET_RECOG" hidden="1">"c3152"</definedName>
    <definedName name="IQ_PENSION_NET_ASSET_RECOG_DOM" hidden="1">"c3150"</definedName>
    <definedName name="IQ_PENSION_NET_ASSET_RECOG_FOREIGN" hidden="1">"c3151"</definedName>
    <definedName name="IQ_PENSION_OBLIGATION_ACQ" hidden="1">"c3206"</definedName>
    <definedName name="IQ_PENSION_OBLIGATION_ACQ_DOM" hidden="1">"c3204"</definedName>
    <definedName name="IQ_PENSION_OBLIGATION_ACQ_FOREIGN" hidden="1">"c3205"</definedName>
    <definedName name="IQ_PENSION_OBLIGATION_ACTUARIAL_GAIN_LOSS" hidden="1">"c3197"</definedName>
    <definedName name="IQ_PENSION_OBLIGATION_ACTUARIAL_GAIN_LOSS_DOM" hidden="1">"c3195"</definedName>
    <definedName name="IQ_PENSION_OBLIGATION_ACTUARIAL_GAIN_LOSS_FOREIGN" hidden="1">"c3196"</definedName>
    <definedName name="IQ_PENSION_OBLIGATION_BEG" hidden="1">"c3185"</definedName>
    <definedName name="IQ_PENSION_OBLIGATION_BEG_DOM" hidden="1">"c3183"</definedName>
    <definedName name="IQ_PENSION_OBLIGATION_BEG_FOREIGN" hidden="1">"c3184"</definedName>
    <definedName name="IQ_PENSION_OBLIGATION_CURTAIL" hidden="1">"c3209"</definedName>
    <definedName name="IQ_PENSION_OBLIGATION_CURTAIL_DOM" hidden="1">"c3207"</definedName>
    <definedName name="IQ_PENSION_OBLIGATION_CURTAIL_FOREIGN" hidden="1">"c3208"</definedName>
    <definedName name="IQ_PENSION_OBLIGATION_EMPLOYEE_CONTRIBUTIONS" hidden="1">"c3194"</definedName>
    <definedName name="IQ_PENSION_OBLIGATION_EMPLOYEE_CONTRIBUTIONS_DOM" hidden="1">"c3192"</definedName>
    <definedName name="IQ_PENSION_OBLIGATION_EMPLOYEE_CONTRIBUTIONS_FOREIGN" hidden="1">"c3193"</definedName>
    <definedName name="IQ_PENSION_OBLIGATION_FX_ADJ" hidden="1">"c3203"</definedName>
    <definedName name="IQ_PENSION_OBLIGATION_FX_ADJ_DOM" hidden="1">"c3201"</definedName>
    <definedName name="IQ_PENSION_OBLIGATION_FX_ADJ_FOREIGN" hidden="1">"c3202"</definedName>
    <definedName name="IQ_PENSION_OBLIGATION_INTEREST_COST" hidden="1">"c3191"</definedName>
    <definedName name="IQ_PENSION_OBLIGATION_INTEREST_COST_DOM" hidden="1">"c3189"</definedName>
    <definedName name="IQ_PENSION_OBLIGATION_INTEREST_COST_FOREIGN" hidden="1">"c3190"</definedName>
    <definedName name="IQ_PENSION_OBLIGATION_OTHER_COST" hidden="1">"c3555"</definedName>
    <definedName name="IQ_PENSION_OBLIGATION_OTHER_COST_DOM" hidden="1">"c3553"</definedName>
    <definedName name="IQ_PENSION_OBLIGATION_OTHER_COST_FOREIGN" hidden="1">"c3554"</definedName>
    <definedName name="IQ_PENSION_OBLIGATION_OTHER_PLAN_ADJ" hidden="1">"c3212"</definedName>
    <definedName name="IQ_PENSION_OBLIGATION_OTHER_PLAN_ADJ_DOM" hidden="1">"c3210"</definedName>
    <definedName name="IQ_PENSION_OBLIGATION_OTHER_PLAN_ADJ_FOREIGN" hidden="1">"c3211"</definedName>
    <definedName name="IQ_PENSION_OBLIGATION_PAID" hidden="1">"c3200"</definedName>
    <definedName name="IQ_PENSION_OBLIGATION_PAID_DOM" hidden="1">"c3198"</definedName>
    <definedName name="IQ_PENSION_OBLIGATION_PAID_FOREIGN" hidden="1">"c3199"</definedName>
    <definedName name="IQ_PENSION_OBLIGATION_PROJECTED" hidden="1">"c3215"</definedName>
    <definedName name="IQ_PENSION_OBLIGATION_PROJECTED_DOM" hidden="1">"c3213"</definedName>
    <definedName name="IQ_PENSION_OBLIGATION_PROJECTED_FOREIGN" hidden="1">"c3214"</definedName>
    <definedName name="IQ_PENSION_OBLIGATION_ROA" hidden="1">"c3552"</definedName>
    <definedName name="IQ_PENSION_OBLIGATION_ROA_DOM" hidden="1">"c3550"</definedName>
    <definedName name="IQ_PENSION_OBLIGATION_ROA_FOREIGN" hidden="1">"c3551"</definedName>
    <definedName name="IQ_PENSION_OBLIGATION_SERVICE_COST" hidden="1">"c3188"</definedName>
    <definedName name="IQ_PENSION_OBLIGATION_SERVICE_COST_DOM" hidden="1">"c3186"</definedName>
    <definedName name="IQ_PENSION_OBLIGATION_SERVICE_COST_FOREIGN" hidden="1">"c3187"</definedName>
    <definedName name="IQ_PENSION_OBLIGATION_TOTAL_COST" hidden="1">"c3558"</definedName>
    <definedName name="IQ_PENSION_OBLIGATION_TOTAL_COST_DOM" hidden="1">"c3556"</definedName>
    <definedName name="IQ_PENSION_OBLIGATION_TOTAL_COST_FOREIGN" hidden="1">"c3557"</definedName>
    <definedName name="IQ_PENSION_OTHER" hidden="1">"c3143"</definedName>
    <definedName name="IQ_PENSION_OTHER_ADJ" hidden="1">"c3149"</definedName>
    <definedName name="IQ_PENSION_OTHER_ADJ_DOM" hidden="1">"c3147"</definedName>
    <definedName name="IQ_PENSION_OTHER_ADJ_FOREIGN" hidden="1">"c3148"</definedName>
    <definedName name="IQ_PENSION_OTHER_DOM" hidden="1">"c3141"</definedName>
    <definedName name="IQ_PENSION_OTHER_FOREIGN" hidden="1">"c3142"</definedName>
    <definedName name="IQ_PENSION_PBO_ASSUMED_RATE_RET_MAX" hidden="1">"c3254"</definedName>
    <definedName name="IQ_PENSION_PBO_ASSUMED_RATE_RET_MAX_DOM" hidden="1">"c3252"</definedName>
    <definedName name="IQ_PENSION_PBO_ASSUMED_RATE_RET_MAX_FOREIGN" hidden="1">"c3253"</definedName>
    <definedName name="IQ_PENSION_PBO_ASSUMED_RATE_RET_MIN" hidden="1">"c3251"</definedName>
    <definedName name="IQ_PENSION_PBO_ASSUMED_RATE_RET_MIN_DOM" hidden="1">"c3249"</definedName>
    <definedName name="IQ_PENSION_PBO_ASSUMED_RATE_RET_MIN_FOREIGN" hidden="1">"c3250"</definedName>
    <definedName name="IQ_PENSION_PBO_RATE_COMP_INCREASE_MAX" hidden="1">"c3260"</definedName>
    <definedName name="IQ_PENSION_PBO_RATE_COMP_INCREASE_MAX_DOM" hidden="1">"c3258"</definedName>
    <definedName name="IQ_PENSION_PBO_RATE_COMP_INCREASE_MAX_FOREIGN" hidden="1">"c3259"</definedName>
    <definedName name="IQ_PENSION_PBO_RATE_COMP_INCREASE_MIN" hidden="1">"c3257"</definedName>
    <definedName name="IQ_PENSION_PBO_RATE_COMP_INCREASE_MIN_DOM" hidden="1">"c3255"</definedName>
    <definedName name="IQ_PENSION_PBO_RATE_COMP_INCREASE_MIN_FOREIGN" hidden="1">"c3256"</definedName>
    <definedName name="IQ_PENSION_PREPAID_COST" hidden="1">"c3131"</definedName>
    <definedName name="IQ_PENSION_PREPAID_COST_DOM" hidden="1">"c3129"</definedName>
    <definedName name="IQ_PENSION_PREPAID_COST_FOREIGN" hidden="1">"c3130"</definedName>
    <definedName name="IQ_PENSION_PRIOR_SERVICE_NEXT" hidden="1">"c5741"</definedName>
    <definedName name="IQ_PENSION_PRIOR_SERVICE_NEXT_DOM" hidden="1">"c5739"</definedName>
    <definedName name="IQ_PENSION_PRIOR_SERVICE_NEXT_FOREIGN" hidden="1">"c5740"</definedName>
    <definedName name="IQ_PENSION_PROJECTED_OBLIGATION" hidden="1">"c3566"</definedName>
    <definedName name="IQ_PENSION_PROJECTED_OBLIGATION_DOMESTIC" hidden="1">"c3564"</definedName>
    <definedName name="IQ_PENSION_PROJECTED_OBLIGATION_FOREIGN" hidden="1">"c3565"</definedName>
    <definedName name="IQ_PENSION_QUART_ADDL_CONTRIBUTIONS_EXP" hidden="1">"c3224"</definedName>
    <definedName name="IQ_PENSION_QUART_ADDL_CONTRIBUTIONS_EXP_DOM" hidden="1">"c3222"</definedName>
    <definedName name="IQ_PENSION_QUART_ADDL_CONTRIBUTIONS_EXP_FOREIGN" hidden="1">"c3223"</definedName>
    <definedName name="IQ_PENSION_QUART_EMPLOYER_CONTRIBUTIONS" hidden="1">"c3221"</definedName>
    <definedName name="IQ_PENSION_QUART_EMPLOYER_CONTRIBUTIONS_DOM" hidden="1">"c3219"</definedName>
    <definedName name="IQ_PENSION_QUART_EMPLOYER_CONTRIBUTIONS_FOREIGN" hidden="1">"c3220"</definedName>
    <definedName name="IQ_PENSION_RATE_COMP_GROWTH_DOMESTIC" hidden="1">"c3575"</definedName>
    <definedName name="IQ_PENSION_RATE_COMP_GROWTH_FOREIGN" hidden="1">"c3576"</definedName>
    <definedName name="IQ_PENSION_RATE_COMP_INCREASE_MAX" hidden="1">"c3242"</definedName>
    <definedName name="IQ_PENSION_RATE_COMP_INCREASE_MAX_DOM" hidden="1">"c3240"</definedName>
    <definedName name="IQ_PENSION_RATE_COMP_INCREASE_MAX_FOREIGN" hidden="1">"c3241"</definedName>
    <definedName name="IQ_PENSION_RATE_COMP_INCREASE_MIN" hidden="1">"c3239"</definedName>
    <definedName name="IQ_PENSION_RATE_COMP_INCREASE_MIN_DOM" hidden="1">"c3237"</definedName>
    <definedName name="IQ_PENSION_RATE_COMP_INCREASE_MIN_FOREIGN" hidden="1">"c3238"</definedName>
    <definedName name="IQ_PENSION_SERVICE_COST" hidden="1">"c3579"</definedName>
    <definedName name="IQ_PENSION_SERVICE_COST_DOM" hidden="1">"c3577"</definedName>
    <definedName name="IQ_PENSION_SERVICE_COST_FOREIGN" hidden="1">"c3578"</definedName>
    <definedName name="IQ_PENSION_TOTAL_ASSETS" hidden="1">"c3563"</definedName>
    <definedName name="IQ_PENSION_TOTAL_ASSETS_DOMESTIC" hidden="1">"c3561"</definedName>
    <definedName name="IQ_PENSION_TOTAL_ASSETS_FOREIGN" hidden="1">"c3562"</definedName>
    <definedName name="IQ_PENSION_TOTAL_EXP" hidden="1">"c3560"</definedName>
    <definedName name="IQ_PENSION_TRANSITION_NEXT" hidden="1">"c5744"</definedName>
    <definedName name="IQ_PENSION_TRANSITION_NEXT_DOM" hidden="1">"c5742"</definedName>
    <definedName name="IQ_PENSION_TRANSITION_NEXT_FOREIGN" hidden="1">"c5743"</definedName>
    <definedName name="IQ_PENSION_UNFUNDED_ADDL_MIN_LIAB" hidden="1">"c3227"</definedName>
    <definedName name="IQ_PENSION_UNFUNDED_ADDL_MIN_LIAB_DOM" hidden="1">"c3225"</definedName>
    <definedName name="IQ_PENSION_UNFUNDED_ADDL_MIN_LIAB_FOREIGN" hidden="1">"c3226"</definedName>
    <definedName name="IQ_PENSION_UNRECOG_PRIOR" hidden="1">"c3146"</definedName>
    <definedName name="IQ_PENSION_UNRECOG_PRIOR_DOM" hidden="1">"c3144"</definedName>
    <definedName name="IQ_PENSION_UNRECOG_PRIOR_FOREIGN" hidden="1">"c3145"</definedName>
    <definedName name="IQ_PENSION_UV_LIAB" hidden="1">"c3567"</definedName>
    <definedName name="IQ_PERCENT_CHANGE_EST_5YR_GROWTH_RATE_12MONTHS" hidden="1">"c1852"</definedName>
    <definedName name="IQ_PERCENT_CHANGE_EST_5YR_GROWTH_RATE_12MONTHS_REUT" hidden="1">"c3959"</definedName>
    <definedName name="IQ_PERCENT_CHANGE_EST_5YR_GROWTH_RATE_18MONTHS" hidden="1">"c1853"</definedName>
    <definedName name="IQ_PERCENT_CHANGE_EST_5YR_GROWTH_RATE_18MONTHS_REUT" hidden="1">"c3960"</definedName>
    <definedName name="IQ_PERCENT_CHANGE_EST_5YR_GROWTH_RATE_3MONTHS" hidden="1">"c1849"</definedName>
    <definedName name="IQ_PERCENT_CHANGE_EST_5YR_GROWTH_RATE_3MONTHS_REUT" hidden="1">"c3956"</definedName>
    <definedName name="IQ_PERCENT_CHANGE_EST_5YR_GROWTH_RATE_6MONTHS" hidden="1">"c1850"</definedName>
    <definedName name="IQ_PERCENT_CHANGE_EST_5YR_GROWTH_RATE_6MONTHS_REUT" hidden="1">"c3957"</definedName>
    <definedName name="IQ_PERCENT_CHANGE_EST_5YR_GROWTH_RATE_9MONTHS" hidden="1">"c1851"</definedName>
    <definedName name="IQ_PERCENT_CHANGE_EST_5YR_GROWTH_RATE_9MONTHS_REUT" hidden="1">"c3958"</definedName>
    <definedName name="IQ_PERCENT_CHANGE_EST_5YR_GROWTH_RATE_DAY" hidden="1">"c1846"</definedName>
    <definedName name="IQ_PERCENT_CHANGE_EST_5YR_GROWTH_RATE_DAY_REUT" hidden="1">"c3954"</definedName>
    <definedName name="IQ_PERCENT_CHANGE_EST_5YR_GROWTH_RATE_MONTH" hidden="1">"c1848"</definedName>
    <definedName name="IQ_PERCENT_CHANGE_EST_5YR_GROWTH_RATE_MONTH_REUT" hidden="1">"c3955"</definedName>
    <definedName name="IQ_PERCENT_CHANGE_EST_5YR_GROWTH_RATE_WEEK" hidden="1">"c1847"</definedName>
    <definedName name="IQ_PERCENT_CHANGE_EST_5YR_GROWTH_RATE_WEEK_REUT" hidden="1">"c5435"</definedName>
    <definedName name="IQ_PERCENT_CHANGE_EST_CFPS_12MONTHS" hidden="1">"c1812"</definedName>
    <definedName name="IQ_PERCENT_CHANGE_EST_CFPS_12MONTHS_REUT" hidden="1">"c3924"</definedName>
    <definedName name="IQ_PERCENT_CHANGE_EST_CFPS_18MONTHS" hidden="1">"c1813"</definedName>
    <definedName name="IQ_PERCENT_CHANGE_EST_CFPS_18MONTHS_REUT" hidden="1">"c3925"</definedName>
    <definedName name="IQ_PERCENT_CHANGE_EST_CFPS_3MONTHS" hidden="1">"c1809"</definedName>
    <definedName name="IQ_PERCENT_CHANGE_EST_CFPS_3MONTHS_REUT" hidden="1">"c3921"</definedName>
    <definedName name="IQ_PERCENT_CHANGE_EST_CFPS_6MONTHS" hidden="1">"c1810"</definedName>
    <definedName name="IQ_PERCENT_CHANGE_EST_CFPS_6MONTHS_REUT" hidden="1">"c3922"</definedName>
    <definedName name="IQ_PERCENT_CHANGE_EST_CFPS_9MONTHS" hidden="1">"c1811"</definedName>
    <definedName name="IQ_PERCENT_CHANGE_EST_CFPS_9MONTHS_REUT" hidden="1">"c3923"</definedName>
    <definedName name="IQ_PERCENT_CHANGE_EST_CFPS_DAY" hidden="1">"c1806"</definedName>
    <definedName name="IQ_PERCENT_CHANGE_EST_CFPS_DAY_REUT" hidden="1">"c3919"</definedName>
    <definedName name="IQ_PERCENT_CHANGE_EST_CFPS_MONTH" hidden="1">"c1808"</definedName>
    <definedName name="IQ_PERCENT_CHANGE_EST_CFPS_MONTH_REUT" hidden="1">"c3920"</definedName>
    <definedName name="IQ_PERCENT_CHANGE_EST_CFPS_WEEK" hidden="1">"c1807"</definedName>
    <definedName name="IQ_PERCENT_CHANGE_EST_CFPS_WEEK_REUT" hidden="1">"c3962"</definedName>
    <definedName name="IQ_PERCENT_CHANGE_EST_DPS_12MONTHS" hidden="1">"c1820"</definedName>
    <definedName name="IQ_PERCENT_CHANGE_EST_DPS_12MONTHS_REUT" hidden="1">"c3931"</definedName>
    <definedName name="IQ_PERCENT_CHANGE_EST_DPS_18MONTHS" hidden="1">"c1821"</definedName>
    <definedName name="IQ_PERCENT_CHANGE_EST_DPS_18MONTHS_REUT" hidden="1">"c3932"</definedName>
    <definedName name="IQ_PERCENT_CHANGE_EST_DPS_3MONTHS" hidden="1">"c1817"</definedName>
    <definedName name="IQ_PERCENT_CHANGE_EST_DPS_3MONTHS_REUT" hidden="1">"c3928"</definedName>
    <definedName name="IQ_PERCENT_CHANGE_EST_DPS_6MONTHS" hidden="1">"c1818"</definedName>
    <definedName name="IQ_PERCENT_CHANGE_EST_DPS_6MONTHS_REUT" hidden="1">"c3929"</definedName>
    <definedName name="IQ_PERCENT_CHANGE_EST_DPS_9MONTHS" hidden="1">"c1819"</definedName>
    <definedName name="IQ_PERCENT_CHANGE_EST_DPS_9MONTHS_REUT" hidden="1">"c3930"</definedName>
    <definedName name="IQ_PERCENT_CHANGE_EST_DPS_DAY" hidden="1">"c1814"</definedName>
    <definedName name="IQ_PERCENT_CHANGE_EST_DPS_DAY_REUT" hidden="1">"c3926"</definedName>
    <definedName name="IQ_PERCENT_CHANGE_EST_DPS_MONTH" hidden="1">"c1816"</definedName>
    <definedName name="IQ_PERCENT_CHANGE_EST_DPS_MONTH_REUT" hidden="1">"c3927"</definedName>
    <definedName name="IQ_PERCENT_CHANGE_EST_DPS_WEEK" hidden="1">"c1815"</definedName>
    <definedName name="IQ_PERCENT_CHANGE_EST_DPS_WEEK_REUT" hidden="1">"c3963"</definedName>
    <definedName name="IQ_PERCENT_CHANGE_EST_EBITDA_12MONTHS" hidden="1">"c1804"</definedName>
    <definedName name="IQ_PERCENT_CHANGE_EST_EBITDA_12MONTHS_REUT" hidden="1">"c3917"</definedName>
    <definedName name="IQ_PERCENT_CHANGE_EST_EBITDA_18MONTHS" hidden="1">"c1805"</definedName>
    <definedName name="IQ_PERCENT_CHANGE_EST_EBITDA_18MONTHS_REUT" hidden="1">"c3918"</definedName>
    <definedName name="IQ_PERCENT_CHANGE_EST_EBITDA_3MONTHS" hidden="1">"c1801"</definedName>
    <definedName name="IQ_PERCENT_CHANGE_EST_EBITDA_3MONTHS_REUT" hidden="1">"c3914"</definedName>
    <definedName name="IQ_PERCENT_CHANGE_EST_EBITDA_6MONTHS" hidden="1">"c1802"</definedName>
    <definedName name="IQ_PERCENT_CHANGE_EST_EBITDA_6MONTHS_REUT" hidden="1">"c3915"</definedName>
    <definedName name="IQ_PERCENT_CHANGE_EST_EBITDA_9MONTHS" hidden="1">"c1803"</definedName>
    <definedName name="IQ_PERCENT_CHANGE_EST_EBITDA_9MONTHS_REUT" hidden="1">"c3916"</definedName>
    <definedName name="IQ_PERCENT_CHANGE_EST_EBITDA_DAY" hidden="1">"c1798"</definedName>
    <definedName name="IQ_PERCENT_CHANGE_EST_EBITDA_DAY_REUT" hidden="1">"c3912"</definedName>
    <definedName name="IQ_PERCENT_CHANGE_EST_EBITDA_MONTH" hidden="1">"c1800"</definedName>
    <definedName name="IQ_PERCENT_CHANGE_EST_EBITDA_MONTH_REUT" hidden="1">"c3913"</definedName>
    <definedName name="IQ_PERCENT_CHANGE_EST_EBITDA_WEEK" hidden="1">"c1799"</definedName>
    <definedName name="IQ_PERCENT_CHANGE_EST_EBITDA_WEEK_REUT" hidden="1">"c3961"</definedName>
    <definedName name="IQ_PERCENT_CHANGE_EST_EPS_12MONTHS" hidden="1">"c1788"</definedName>
    <definedName name="IQ_PERCENT_CHANGE_EST_EPS_12MONTHS_REUT" hidden="1">"c3902"</definedName>
    <definedName name="IQ_PERCENT_CHANGE_EST_EPS_18MONTHS" hidden="1">"c1789"</definedName>
    <definedName name="IQ_PERCENT_CHANGE_EST_EPS_18MONTHS_REUT" hidden="1">"c3903"</definedName>
    <definedName name="IQ_PERCENT_CHANGE_EST_EPS_3MONTHS" hidden="1">"c1785"</definedName>
    <definedName name="IQ_PERCENT_CHANGE_EST_EPS_3MONTHS_REUT" hidden="1">"c3899"</definedName>
    <definedName name="IQ_PERCENT_CHANGE_EST_EPS_6MONTHS" hidden="1">"c1786"</definedName>
    <definedName name="IQ_PERCENT_CHANGE_EST_EPS_6MONTHS_REUT" hidden="1">"c3900"</definedName>
    <definedName name="IQ_PERCENT_CHANGE_EST_EPS_9MONTHS" hidden="1">"c1787"</definedName>
    <definedName name="IQ_PERCENT_CHANGE_EST_EPS_9MONTHS_REUT" hidden="1">"c3901"</definedName>
    <definedName name="IQ_PERCENT_CHANGE_EST_EPS_DAY" hidden="1">"c1782"</definedName>
    <definedName name="IQ_PERCENT_CHANGE_EST_EPS_DAY_REUT" hidden="1">"c3896"</definedName>
    <definedName name="IQ_PERCENT_CHANGE_EST_EPS_MONTH" hidden="1">"c1784"</definedName>
    <definedName name="IQ_PERCENT_CHANGE_EST_EPS_MONTH_REUT" hidden="1">"c3898"</definedName>
    <definedName name="IQ_PERCENT_CHANGE_EST_EPS_WEEK" hidden="1">"c1783"</definedName>
    <definedName name="IQ_PERCENT_CHANGE_EST_EPS_WEEK_REUT" hidden="1">"c3897"</definedName>
    <definedName name="IQ_PERCENT_CHANGE_EST_FFO_12MONTHS" hidden="1">"c1828"</definedName>
    <definedName name="IQ_PERCENT_CHANGE_EST_FFO_12MONTHS_REUT" hidden="1">"c3938"</definedName>
    <definedName name="IQ_PERCENT_CHANGE_EST_FFO_18MONTHS" hidden="1">"c1829"</definedName>
    <definedName name="IQ_PERCENT_CHANGE_EST_FFO_18MONTHS_REUT" hidden="1">"c3939"</definedName>
    <definedName name="IQ_PERCENT_CHANGE_EST_FFO_3MONTHS" hidden="1">"c1825"</definedName>
    <definedName name="IQ_PERCENT_CHANGE_EST_FFO_3MONTHS_REUT" hidden="1">"c3935"</definedName>
    <definedName name="IQ_PERCENT_CHANGE_EST_FFO_6MONTHS" hidden="1">"c1826"</definedName>
    <definedName name="IQ_PERCENT_CHANGE_EST_FFO_6MONTHS_REUT" hidden="1">"c3936"</definedName>
    <definedName name="IQ_PERCENT_CHANGE_EST_FFO_9MONTHS" hidden="1">"c1827"</definedName>
    <definedName name="IQ_PERCENT_CHANGE_EST_FFO_9MONTHS_REUT" hidden="1">"c3937"</definedName>
    <definedName name="IQ_PERCENT_CHANGE_EST_FFO_DAY" hidden="1">"c1822"</definedName>
    <definedName name="IQ_PERCENT_CHANGE_EST_FFO_DAY_REUT" hidden="1">"c3933"</definedName>
    <definedName name="IQ_PERCENT_CHANGE_EST_FFO_MONTH" hidden="1">"c1824"</definedName>
    <definedName name="IQ_PERCENT_CHANGE_EST_FFO_MONTH_REUT" hidden="1">"c3934"</definedName>
    <definedName name="IQ_PERCENT_CHANGE_EST_FFO_WEEK" hidden="1">"c1823"</definedName>
    <definedName name="IQ_PERCENT_CHANGE_EST_FFO_WEEK_REUT" hidden="1">"c3964"</definedName>
    <definedName name="IQ_PERCENT_CHANGE_EST_PRICE_TARGET_12MONTHS" hidden="1">"c1844"</definedName>
    <definedName name="IQ_PERCENT_CHANGE_EST_PRICE_TARGET_12MONTHS_REUT" hidden="1">"c3952"</definedName>
    <definedName name="IQ_PERCENT_CHANGE_EST_PRICE_TARGET_18MONTHS" hidden="1">"c1845"</definedName>
    <definedName name="IQ_PERCENT_CHANGE_EST_PRICE_TARGET_18MONTHS_REUT" hidden="1">"c3953"</definedName>
    <definedName name="IQ_PERCENT_CHANGE_EST_PRICE_TARGET_3MONTHS" hidden="1">"c1841"</definedName>
    <definedName name="IQ_PERCENT_CHANGE_EST_PRICE_TARGET_3MONTHS_REUT" hidden="1">"c3949"</definedName>
    <definedName name="IQ_PERCENT_CHANGE_EST_PRICE_TARGET_6MONTHS" hidden="1">"c1842"</definedName>
    <definedName name="IQ_PERCENT_CHANGE_EST_PRICE_TARGET_6MONTHS_REUT" hidden="1">"c3950"</definedName>
    <definedName name="IQ_PERCENT_CHANGE_EST_PRICE_TARGET_9MONTHS" hidden="1">"c1843"</definedName>
    <definedName name="IQ_PERCENT_CHANGE_EST_PRICE_TARGET_9MONTHS_REUT" hidden="1">"c3951"</definedName>
    <definedName name="IQ_PERCENT_CHANGE_EST_PRICE_TARGET_DAY" hidden="1">"c1838"</definedName>
    <definedName name="IQ_PERCENT_CHANGE_EST_PRICE_TARGET_DAY_REUT" hidden="1">"c3947"</definedName>
    <definedName name="IQ_PERCENT_CHANGE_EST_PRICE_TARGET_MONTH" hidden="1">"c1840"</definedName>
    <definedName name="IQ_PERCENT_CHANGE_EST_PRICE_TARGET_MONTH_REUT" hidden="1">"c3948"</definedName>
    <definedName name="IQ_PERCENT_CHANGE_EST_PRICE_TARGET_WEEK" hidden="1">"c1839"</definedName>
    <definedName name="IQ_PERCENT_CHANGE_EST_PRICE_TARGET_WEEK_REUT" hidden="1">"c3967"</definedName>
    <definedName name="IQ_PERCENT_CHANGE_EST_RECO_12MONTHS" hidden="1">"c1836"</definedName>
    <definedName name="IQ_PERCENT_CHANGE_EST_RECO_12MONTHS_REUT" hidden="1">"c3945"</definedName>
    <definedName name="IQ_PERCENT_CHANGE_EST_RECO_18MONTHS" hidden="1">"c1837"</definedName>
    <definedName name="IQ_PERCENT_CHANGE_EST_RECO_18MONTHS_REUT" hidden="1">"c3946"</definedName>
    <definedName name="IQ_PERCENT_CHANGE_EST_RECO_3MONTHS" hidden="1">"c1833"</definedName>
    <definedName name="IQ_PERCENT_CHANGE_EST_RECO_3MONTHS_REUT" hidden="1">"c3942"</definedName>
    <definedName name="IQ_PERCENT_CHANGE_EST_RECO_6MONTHS" hidden="1">"c1834"</definedName>
    <definedName name="IQ_PERCENT_CHANGE_EST_RECO_6MONTHS_REUT" hidden="1">"c3943"</definedName>
    <definedName name="IQ_PERCENT_CHANGE_EST_RECO_9MONTHS" hidden="1">"c1835"</definedName>
    <definedName name="IQ_PERCENT_CHANGE_EST_RECO_9MONTHS_REUT" hidden="1">"c3944"</definedName>
    <definedName name="IQ_PERCENT_CHANGE_EST_RECO_DAY" hidden="1">"c1830"</definedName>
    <definedName name="IQ_PERCENT_CHANGE_EST_RECO_DAY_REUT" hidden="1">"c3940"</definedName>
    <definedName name="IQ_PERCENT_CHANGE_EST_RECO_MONTH" hidden="1">"c1832"</definedName>
    <definedName name="IQ_PERCENT_CHANGE_EST_RECO_MONTH_REUT" hidden="1">"c3941"</definedName>
    <definedName name="IQ_PERCENT_CHANGE_EST_RECO_WEEK" hidden="1">"c1831"</definedName>
    <definedName name="IQ_PERCENT_CHANGE_EST_RECO_WEEK_REUT" hidden="1">"c3965"</definedName>
    <definedName name="IQ_PERCENT_CHANGE_EST_REV_12MONTHS" hidden="1">"c1796"</definedName>
    <definedName name="IQ_PERCENT_CHANGE_EST_REV_12MONTHS_REUT" hidden="1">"c3910"</definedName>
    <definedName name="IQ_PERCENT_CHANGE_EST_REV_18MONTHS" hidden="1">"c1797"</definedName>
    <definedName name="IQ_PERCENT_CHANGE_EST_REV_18MONTHS_REUT" hidden="1">"c3911"</definedName>
    <definedName name="IQ_PERCENT_CHANGE_EST_REV_3MONTHS" hidden="1">"c1793"</definedName>
    <definedName name="IQ_PERCENT_CHANGE_EST_REV_3MONTHS_REUT" hidden="1">"c3907"</definedName>
    <definedName name="IQ_PERCENT_CHANGE_EST_REV_6MONTHS" hidden="1">"c1794"</definedName>
    <definedName name="IQ_PERCENT_CHANGE_EST_REV_6MONTHS_REUT" hidden="1">"c3908"</definedName>
    <definedName name="IQ_PERCENT_CHANGE_EST_REV_9MONTHS" hidden="1">"c1795"</definedName>
    <definedName name="IQ_PERCENT_CHANGE_EST_REV_9MONTHS_REUT" hidden="1">"c3909"</definedName>
    <definedName name="IQ_PERCENT_CHANGE_EST_REV_DAY" hidden="1">"c1790"</definedName>
    <definedName name="IQ_PERCENT_CHANGE_EST_REV_DAY_REUT" hidden="1">"c3904"</definedName>
    <definedName name="IQ_PERCENT_CHANGE_EST_REV_MONTH" hidden="1">"c1792"</definedName>
    <definedName name="IQ_PERCENT_CHANGE_EST_REV_MONTH_REUT" hidden="1">"c3906"</definedName>
    <definedName name="IQ_PERCENT_CHANGE_EST_REV_WEEK" hidden="1">"c1791"</definedName>
    <definedName name="IQ_PERCENT_CHANGE_EST_REV_WEEK_REUT" hidden="1">"c3905"</definedName>
    <definedName name="IQ_PERIODDATE" hidden="1">"c1414"</definedName>
    <definedName name="IQ_PERIODDATE_BS" hidden="1">"c1032"</definedName>
    <definedName name="IQ_PERIODDATE_CF" hidden="1">"c1033"</definedName>
    <definedName name="IQ_PERIODDATE_IS" hidden="1">"c1034"</definedName>
    <definedName name="IQ_PERIODLENGTH_CF" hidden="1">"c1502"</definedName>
    <definedName name="IQ_PERIODLENGTH_IS" hidden="1">"c1503"</definedName>
    <definedName name="IQ_PERTYPE" hidden="1">"c1611"</definedName>
    <definedName name="IQ_PLL" hidden="1">"c2114"</definedName>
    <definedName name="IQ_PMT_FREQ" hidden="1">"c2236"</definedName>
    <definedName name="IQ_POISON_PUT_EFFECT_DATE" hidden="1">"c2486"</definedName>
    <definedName name="IQ_POISON_PUT_EXPIRATION_DATE" hidden="1">"c2487"</definedName>
    <definedName name="IQ_POISON_PUT_PRICE" hidden="1">"c2488"</definedName>
    <definedName name="IQ_POLICY_BENEFITS" hidden="1">"c1036"</definedName>
    <definedName name="IQ_POLICY_COST" hidden="1">"c1037"</definedName>
    <definedName name="IQ_POLICY_LIAB" hidden="1">"c1612"</definedName>
    <definedName name="IQ_POLICY_LOANS" hidden="1">"c1038"</definedName>
    <definedName name="IQ_POST_RETIRE_EXP" hidden="1">"c1039"</definedName>
    <definedName name="IQ_POSTPAID_CHURN" hidden="1">"c2121"</definedName>
    <definedName name="IQ_POSTPAID_SUBS" hidden="1">"c2118"</definedName>
    <definedName name="IQ_POTENTIAL_UPSIDE" hidden="1">"c1855"</definedName>
    <definedName name="IQ_POTENTIAL_UPSIDE_REUT" hidden="1">"c3968"</definedName>
    <definedName name="IQ_PRE_OPEN_COST" hidden="1">"c1040"</definedName>
    <definedName name="IQ_PRE_TAX_ACT_OR_EST" hidden="1">"c2221"</definedName>
    <definedName name="IQ_PRE_TAX_ACT_OR_EST_REUT" hidden="1">"c5467"</definedName>
    <definedName name="IQ_PREF_CONVERT" hidden="1">"c1041"</definedName>
    <definedName name="IQ_PREF_DIV_CF" hidden="1">"c1042"</definedName>
    <definedName name="IQ_PREF_DIV_OTHER" hidden="1">"c1043"</definedName>
    <definedName name="IQ_PREF_DIVID" hidden="1">"c1461"</definedName>
    <definedName name="IQ_PREF_EQUITY" hidden="1">"c1044"</definedName>
    <definedName name="IQ_PREF_ISSUED" hidden="1">"c1045"</definedName>
    <definedName name="IQ_PREF_ISSUED_BNK" hidden="1">"c1046"</definedName>
    <definedName name="IQ_PREF_ISSUED_BR" hidden="1">"c1047"</definedName>
    <definedName name="IQ_PREF_ISSUED_FIN" hidden="1">"c1048"</definedName>
    <definedName name="IQ_PREF_ISSUED_INS" hidden="1">"c1049"</definedName>
    <definedName name="IQ_PREF_ISSUED_RE" hidden="1">"c6261"</definedName>
    <definedName name="IQ_PREF_ISSUED_REIT" hidden="1">"c1050"</definedName>
    <definedName name="IQ_PREF_ISSUED_UTI" hidden="1">"c1051"</definedName>
    <definedName name="IQ_PREF_NON_REDEEM" hidden="1">"c1052"</definedName>
    <definedName name="IQ_PREF_OTHER" hidden="1">"c1053"</definedName>
    <definedName name="IQ_PREF_OTHER_BNK" hidden="1">"c1054"</definedName>
    <definedName name="IQ_PREF_OTHER_BR" hidden="1">"c1055"</definedName>
    <definedName name="IQ_PREF_OTHER_FIN" hidden="1">"c1056"</definedName>
    <definedName name="IQ_PREF_OTHER_INS" hidden="1">"c1057"</definedName>
    <definedName name="IQ_PREF_OTHER_RE" hidden="1">"c6262"</definedName>
    <definedName name="IQ_PREF_OTHER_REIT" hidden="1">"c1058"</definedName>
    <definedName name="IQ_PREF_OTHER_UTI" hidden="1">"C6022"</definedName>
    <definedName name="IQ_PREF_REDEEM" hidden="1">"c1059"</definedName>
    <definedName name="IQ_PREF_REP" hidden="1">"c1060"</definedName>
    <definedName name="IQ_PREF_REP_BNK" hidden="1">"c1061"</definedName>
    <definedName name="IQ_PREF_REP_BR" hidden="1">"c1062"</definedName>
    <definedName name="IQ_PREF_REP_FIN" hidden="1">"c1063"</definedName>
    <definedName name="IQ_PREF_REP_INS" hidden="1">"c1064"</definedName>
    <definedName name="IQ_PREF_REP_RE" hidden="1">"c6263"</definedName>
    <definedName name="IQ_PREF_REP_REIT" hidden="1">"c1065"</definedName>
    <definedName name="IQ_PREF_REP_UTI" hidden="1">"c1066"</definedName>
    <definedName name="IQ_PREF_STOCK" hidden="1">"c1416"</definedName>
    <definedName name="IQ_PREF_TOT" hidden="1">"c1415"</definedName>
    <definedName name="IQ_PREMIUMS_ANNUITY_REV" hidden="1">"c1067"</definedName>
    <definedName name="IQ_PREPAID_CHURN" hidden="1">"c2120"</definedName>
    <definedName name="IQ_PREPAID_EXP" hidden="1">"c1068"</definedName>
    <definedName name="IQ_PREPAID_EXPEN" hidden="1">"c1418"</definedName>
    <definedName name="IQ_PREPAID_SUBS" hidden="1">"c2117"</definedName>
    <definedName name="IQ_PRETAX_GW_INC_EST" hidden="1">"c1702"</definedName>
    <definedName name="IQ_PRETAX_GW_INC_EST_REUT" hidden="1">"c5354"</definedName>
    <definedName name="IQ_PRETAX_GW_INC_HIGH_EST" hidden="1">"c1704"</definedName>
    <definedName name="IQ_PRETAX_GW_INC_HIGH_EST_REUT" hidden="1">"c5356"</definedName>
    <definedName name="IQ_PRETAX_GW_INC_LOW_EST" hidden="1">"c1705"</definedName>
    <definedName name="IQ_PRETAX_GW_INC_LOW_EST_REUT" hidden="1">"c5357"</definedName>
    <definedName name="IQ_PRETAX_GW_INC_MEDIAN_EST" hidden="1">"c1703"</definedName>
    <definedName name="IQ_PRETAX_GW_INC_MEDIAN_EST_REUT" hidden="1">"c5355"</definedName>
    <definedName name="IQ_PRETAX_GW_INC_NUM_EST" hidden="1">"c1706"</definedName>
    <definedName name="IQ_PRETAX_GW_INC_NUM_EST_REUT" hidden="1">"c5358"</definedName>
    <definedName name="IQ_PRETAX_GW_INC_STDDEV_EST" hidden="1">"c1707"</definedName>
    <definedName name="IQ_PRETAX_GW_INC_STDDEV_EST_REUT" hidden="1">"c5359"</definedName>
    <definedName name="IQ_PRETAX_INC_EST" hidden="1">"c1695"</definedName>
    <definedName name="IQ_PRETAX_INC_EST_REUT" hidden="1">"c5347"</definedName>
    <definedName name="IQ_PRETAX_INC_HIGH_EST" hidden="1">"c1697"</definedName>
    <definedName name="IQ_PRETAX_INC_HIGH_EST_REUT" hidden="1">"c5349"</definedName>
    <definedName name="IQ_PRETAX_INC_LOW_EST" hidden="1">"c1698"</definedName>
    <definedName name="IQ_PRETAX_INC_LOW_EST_REUT" hidden="1">"c5350"</definedName>
    <definedName name="IQ_PRETAX_INC_MEDIAN_EST" hidden="1">"c1696"</definedName>
    <definedName name="IQ_PRETAX_INC_MEDIAN_EST_REUT" hidden="1">"c5348"</definedName>
    <definedName name="IQ_PRETAX_INC_NUM_EST" hidden="1">"c1699"</definedName>
    <definedName name="IQ_PRETAX_INC_NUM_EST_REUT" hidden="1">"c5351"</definedName>
    <definedName name="IQ_PRETAX_INC_STDDEV_EST" hidden="1">"c1700"</definedName>
    <definedName name="IQ_PRETAX_INC_STDDEV_EST_REUT" hidden="1">"c5352"</definedName>
    <definedName name="IQ_PRETAX_REPORT_INC_EST" hidden="1">"c1709"</definedName>
    <definedName name="IQ_PRETAX_REPORT_INC_EST_REUT" hidden="1">"c5361"</definedName>
    <definedName name="IQ_PRETAX_REPORT_INC_HIGH_EST" hidden="1">"c1711"</definedName>
    <definedName name="IQ_PRETAX_REPORT_INC_HIGH_EST_REUT" hidden="1">"c5363"</definedName>
    <definedName name="IQ_PRETAX_REPORT_INC_LOW_EST" hidden="1">"c1712"</definedName>
    <definedName name="IQ_PRETAX_REPORT_INC_LOW_EST_REUT" hidden="1">"c5364"</definedName>
    <definedName name="IQ_PRETAX_REPORT_INC_MEDIAN_EST" hidden="1">"c1710"</definedName>
    <definedName name="IQ_PRETAX_REPORT_INC_MEDIAN_EST_REUT" hidden="1">"c5362"</definedName>
    <definedName name="IQ_PRETAX_REPORT_INC_NUM_EST" hidden="1">"c1713"</definedName>
    <definedName name="IQ_PRETAX_REPORT_INC_NUM_EST_REUT" hidden="1">"c5365"</definedName>
    <definedName name="IQ_PRETAX_REPORT_INC_STDDEV_EST" hidden="1">"c1714"</definedName>
    <definedName name="IQ_PRETAX_REPORT_INC_STDDEV_EST_REUT" hidden="1">"c5366"</definedName>
    <definedName name="IQ_PRICE_CFPS_FWD" hidden="1">"c2237"</definedName>
    <definedName name="IQ_PRICE_CFPS_FWD_REUT" hidden="1">"c4053"</definedName>
    <definedName name="IQ_PRICE_OVER_BVPS" hidden="1">"c1412"</definedName>
    <definedName name="IQ_PRICE_OVER_LTM_EPS" hidden="1">"c1413"</definedName>
    <definedName name="IQ_PRICE_TARGET" hidden="1">"c82"</definedName>
    <definedName name="IQ_PRICE_TARGET_BOTTOM_UP" hidden="1">"c5486"</definedName>
    <definedName name="IQ_PRICE_TARGET_BOTTOM_UP_REUT" hidden="1">"c5494"</definedName>
    <definedName name="IQ_PRICE_TARGET_REUT" hidden="1">"c3631"</definedName>
    <definedName name="IQ_PRICE_VOLATILITY_EST" hidden="1">"c4492"</definedName>
    <definedName name="IQ_PRICE_VOLATILITY_HIGH" hidden="1">"c4493"</definedName>
    <definedName name="IQ_PRICE_VOLATILITY_LOW" hidden="1">"c4494"</definedName>
    <definedName name="IQ_PRICE_VOLATILITY_MEDIAN" hidden="1">"c4495"</definedName>
    <definedName name="IQ_PRICE_VOLATILITY_NUM" hidden="1">"c4496"</definedName>
    <definedName name="IQ_PRICE_VOLATILITY_STDDEV" hidden="1">"c4497"</definedName>
    <definedName name="IQ_PRICEDATE" hidden="1">"c1069"</definedName>
    <definedName name="IQ_PRICING_DATE" hidden="1">"c1613"</definedName>
    <definedName name="IQ_PRIMARY_EPS_TYPE" hidden="1">"c4498"</definedName>
    <definedName name="IQ_PRIMARY_EPS_TYPE_REUT" hidden="1">"c5481"</definedName>
    <definedName name="IQ_PRIMARY_INDUSTRY" hidden="1">"c1070"</definedName>
    <definedName name="IQ_PRINCIPAL_AMT" hidden="1">"c2157"</definedName>
    <definedName name="IQ_PRO_FORMA_BASIC_EPS" hidden="1">"c1614"</definedName>
    <definedName name="IQ_PRO_FORMA_DILUT_EPS" hidden="1">"c1615"</definedName>
    <definedName name="IQ_PRO_FORMA_NET_INC" hidden="1">"c1452"</definedName>
    <definedName name="IQ_PROFESSIONAL" hidden="1">"c1071"</definedName>
    <definedName name="IQ_PROFESSIONAL_TITLE" hidden="1">"c1072"</definedName>
    <definedName name="IQ_PROJECTED_PENSION_OBLIGATION" hidden="1">"c1292"</definedName>
    <definedName name="IQ_PROJECTED_PENSION_OBLIGATION_DOMESTIC" hidden="1">"c2656"</definedName>
    <definedName name="IQ_PROJECTED_PENSION_OBLIGATION_FOREIGN" hidden="1">"c2664"</definedName>
    <definedName name="IQ_PROPERTY_EXP" hidden="1">"c1073"</definedName>
    <definedName name="IQ_PROPERTY_GROSS" hidden="1">"c1379"</definedName>
    <definedName name="IQ_PROPERTY_MGMT_FEE" hidden="1">"c1074"</definedName>
    <definedName name="IQ_PROPERTY_NET" hidden="1">"c1402"</definedName>
    <definedName name="IQ_PROV_BAD_DEBTS" hidden="1">"c1075"</definedName>
    <definedName name="IQ_PROV_BAD_DEBTS_CF" hidden="1">"c1076"</definedName>
    <definedName name="IQ_PROVISION_10YR_ANN_CAGR" hidden="1">"c6135"</definedName>
    <definedName name="IQ_PROVISION_10YR_ANN_GROWTH" hidden="1">"c1077"</definedName>
    <definedName name="IQ_PROVISION_1YR_ANN_GROWTH" hidden="1">"c1078"</definedName>
    <definedName name="IQ_PROVISION_2YR_ANN_CAGR" hidden="1">"c6136"</definedName>
    <definedName name="IQ_PROVISION_2YR_ANN_GROWTH" hidden="1">"c1079"</definedName>
    <definedName name="IQ_PROVISION_3YR_ANN_CAGR" hidden="1">"c6137"</definedName>
    <definedName name="IQ_PROVISION_3YR_ANN_GROWTH" hidden="1">"c1080"</definedName>
    <definedName name="IQ_PROVISION_5YR_ANN_CAGR" hidden="1">"c6138"</definedName>
    <definedName name="IQ_PROVISION_5YR_ANN_GROWTH" hidden="1">"c1081"</definedName>
    <definedName name="IQ_PROVISION_7YR_ANN_CAGR" hidden="1">"c6139"</definedName>
    <definedName name="IQ_PROVISION_7YR_ANN_GROWTH" hidden="1">"c1082"</definedName>
    <definedName name="IQ_PROVISION_CHARGE_OFFS" hidden="1">"c1083"</definedName>
    <definedName name="IQ_PTBV" hidden="1">"c1084"</definedName>
    <definedName name="IQ_PTBV_AVG" hidden="1">"c1085"</definedName>
    <definedName name="IQ_PUT_DATE_SCHEDULE" hidden="1">"c2483"</definedName>
    <definedName name="IQ_PUT_NOTIFICATION" hidden="1">"c2485"</definedName>
    <definedName name="IQ_PUT_PRICE_SCHEDULE" hidden="1">"c2484"</definedName>
    <definedName name="IQ_QTD" hidden="1">750000</definedName>
    <definedName name="IQ_QUICK_RATIO" hidden="1">"c1086"</definedName>
    <definedName name="IQ_RATE_COMP_GROWTH_DOMESTIC" hidden="1">"c1087"</definedName>
    <definedName name="IQ_RATE_COMP_GROWTH_FOREIGN" hidden="1">"c1088"</definedName>
    <definedName name="IQ_RAW_INV" hidden="1">"c1089"</definedName>
    <definedName name="IQ_RC" hidden="1">"c2497"</definedName>
    <definedName name="IQ_RC_PCT" hidden="1">"c2498"</definedName>
    <definedName name="IQ_RD_EXP" hidden="1">"c1090"</definedName>
    <definedName name="IQ_RD_EXP_FN" hidden="1">"c1091"</definedName>
    <definedName name="IQ_RE" hidden="1">"c1092"</definedName>
    <definedName name="IQ_REAL_ESTATE" hidden="1">"c1093"</definedName>
    <definedName name="IQ_REAL_ESTATE_ASSETS" hidden="1">"c1094"</definedName>
    <definedName name="IQ_RECURRING_PROFIT_ACT_OR_EST" hidden="1">"c4507"</definedName>
    <definedName name="IQ_RECURRING_PROFIT_EST" hidden="1">"c4499"</definedName>
    <definedName name="IQ_RECURRING_PROFIT_GUIDANCE" hidden="1">"c4500"</definedName>
    <definedName name="IQ_RECURRING_PROFIT_HIGH_EST" hidden="1">"c4501"</definedName>
    <definedName name="IQ_RECURRING_PROFIT_HIGH_GUIDANCE" hidden="1">"c4179"</definedName>
    <definedName name="IQ_RECURRING_PROFIT_LOW_EST" hidden="1">"c4502"</definedName>
    <definedName name="IQ_RECURRING_PROFIT_LOW_GUIDANCE" hidden="1">"c4219"</definedName>
    <definedName name="IQ_RECURRING_PROFIT_MEDIAN_EST" hidden="1">"c4503"</definedName>
    <definedName name="IQ_RECURRING_PROFIT_NUM_EST" hidden="1">"c4504"</definedName>
    <definedName name="IQ_RECURRING_PROFIT_SHARE_ACT_OR_EST" hidden="1">"c4508"</definedName>
    <definedName name="IQ_RECURRING_PROFIT_SHARE_EST" hidden="1">"c4506"</definedName>
    <definedName name="IQ_RECURRING_PROFIT_SHARE_GUIDANCE" hidden="1">"c4509"</definedName>
    <definedName name="IQ_RECURRING_PROFIT_SHARE_HIGH_EST" hidden="1">"c4510"</definedName>
    <definedName name="IQ_RECURRING_PROFIT_SHARE_HIGH_GUIDANCE" hidden="1">"c4200"</definedName>
    <definedName name="IQ_RECURRING_PROFIT_SHARE_LOW_EST" hidden="1">"c4511"</definedName>
    <definedName name="IQ_RECURRING_PROFIT_SHARE_LOW_GUIDANCE" hidden="1">"c4240"</definedName>
    <definedName name="IQ_RECURRING_PROFIT_SHARE_MEDIAN_EST" hidden="1">"c4512"</definedName>
    <definedName name="IQ_RECURRING_PROFIT_SHARE_NUM_EST" hidden="1">"c4513"</definedName>
    <definedName name="IQ_RECURRING_PROFIT_SHARE_STDDEV_EST" hidden="1">"c4514"</definedName>
    <definedName name="IQ_RECURRING_PROFIT_STDDEV_EST" hidden="1">"c4516"</definedName>
    <definedName name="IQ_REDEEM_PREF_STOCK" hidden="1">"c1417"</definedName>
    <definedName name="IQ_REF_ENTITY" hidden="1">"c6033"</definedName>
    <definedName name="IQ_REF_ENTITY_CIQID" hidden="1">"c6024"</definedName>
    <definedName name="IQ_REF_ENTITY_TICKER" hidden="1">"c6023"</definedName>
    <definedName name="IQ_REG_ASSETS" hidden="1">"c1095"</definedName>
    <definedName name="IQ_REINSUR_PAY" hidden="1">"c1096"</definedName>
    <definedName name="IQ_REINSUR_PAY_CF" hidden="1">"c1097"</definedName>
    <definedName name="IQ_REINSUR_RECOVER" hidden="1">"c1098"</definedName>
    <definedName name="IQ_REINSUR_RECOVER_CF" hidden="1">"c1099"</definedName>
    <definedName name="IQ_REINSURANCE" hidden="1">"c1100"</definedName>
    <definedName name="IQ_RENTAL_REV" hidden="1">"c1101"</definedName>
    <definedName name="IQ_RESEARCH_DEV" hidden="1">"c1419"</definedName>
    <definedName name="IQ_RESIDENTIAL_LOANS" hidden="1">"c1102"</definedName>
    <definedName name="IQ_RESTATEMENT_BS" hidden="1">"c1643"</definedName>
    <definedName name="IQ_RESTATEMENT_CF" hidden="1">"c1644"</definedName>
    <definedName name="IQ_RESTATEMENT_IS" hidden="1">"c1642"</definedName>
    <definedName name="IQ_RESTR_STOCK_COMP" hidden="1">"c3506"</definedName>
    <definedName name="IQ_RESTR_STOCK_COMP_PRETAX" hidden="1">"c3504"</definedName>
    <definedName name="IQ_RESTR_STOCK_COMP_TAX" hidden="1">"c3505"</definedName>
    <definedName name="IQ_RESTRICTED_CASH" hidden="1">"c1103"</definedName>
    <definedName name="IQ_RESTRICTED_CASH_NON_CURRENT" hidden="1">"c6192"</definedName>
    <definedName name="IQ_RESTRICTED_CASH_TOTAL" hidden="1">"c6193"</definedName>
    <definedName name="IQ_RESTRUCTURE" hidden="1">"c1104"</definedName>
    <definedName name="IQ_RESTRUCTURE_BNK" hidden="1">"c1105"</definedName>
    <definedName name="IQ_RESTRUCTURE_BR" hidden="1">"c1106"</definedName>
    <definedName name="IQ_RESTRUCTURE_CF" hidden="1">"c1107"</definedName>
    <definedName name="IQ_RESTRUCTURE_FIN" hidden="1">"c1108"</definedName>
    <definedName name="IQ_RESTRUCTURE_INS" hidden="1">"c1109"</definedName>
    <definedName name="IQ_RESTRUCTURE_RE" hidden="1">"c6264"</definedName>
    <definedName name="IQ_RESTRUCTURE_REIT" hidden="1">"c1110"</definedName>
    <definedName name="IQ_RESTRUCTURE_UTI" hidden="1">"c1111"</definedName>
    <definedName name="IQ_RESTRUCTURED_LOANS" hidden="1">"c1112"</definedName>
    <definedName name="IQ_RETAIL_ACQUIRED_FRANCHISE_STORES" hidden="1">"c2895"</definedName>
    <definedName name="IQ_RETAIL_ACQUIRED_OWNED_STORES" hidden="1">"c2903"</definedName>
    <definedName name="IQ_RETAIL_ACQUIRED_STORES" hidden="1">"c2887"</definedName>
    <definedName name="IQ_RETAIL_AVG_STORE_SIZE_GROSS" hidden="1">"c2066"</definedName>
    <definedName name="IQ_RETAIL_AVG_STORE_SIZE_NET" hidden="1">"c2067"</definedName>
    <definedName name="IQ_RETAIL_AVG_WK_SALES" hidden="1">"c2891"</definedName>
    <definedName name="IQ_RETAIL_AVG_WK_SALES_FRANCHISE" hidden="1">"c2899"</definedName>
    <definedName name="IQ_RETAIL_AVG_WK_SALES_OWNED" hidden="1">"c2907"</definedName>
    <definedName name="IQ_RETAIL_CLOSED_FRANCHISE_STORES" hidden="1">"c2896"</definedName>
    <definedName name="IQ_RETAIL_CLOSED_OWNED_STORES" hidden="1">"c2904"</definedName>
    <definedName name="IQ_RETAIL_CLOSED_STORES" hidden="1">"c2063"</definedName>
    <definedName name="IQ_RETAIL_FRANCHISE_STORES_BEG" hidden="1">"c2893"</definedName>
    <definedName name="IQ_RETAIL_OPENED_FRANCHISE_STORES" hidden="1">"c2894"</definedName>
    <definedName name="IQ_RETAIL_OPENED_OWNED_STORES" hidden="1">"c2902"</definedName>
    <definedName name="IQ_RETAIL_OPENED_STORES" hidden="1">"c2062"</definedName>
    <definedName name="IQ_RETAIL_OWNED_STORES_BEG" hidden="1">"c2901"</definedName>
    <definedName name="IQ_RETAIL_SALES_SQFT_ALL_GROSS" hidden="1">"c2138"</definedName>
    <definedName name="IQ_RETAIL_SALES_SQFT_ALL_NET" hidden="1">"c2139"</definedName>
    <definedName name="IQ_RETAIL_SALES_SQFT_COMPARABLE_GROSS" hidden="1">"c2136"</definedName>
    <definedName name="IQ_RETAIL_SALES_SQFT_COMPARABLE_NET" hidden="1">"c2137"</definedName>
    <definedName name="IQ_RETAIL_SALES_SQFT_OWNED_GROSS" hidden="1">"c2134"</definedName>
    <definedName name="IQ_RETAIL_SALES_SQFT_OWNED_NET" hidden="1">"c2135"</definedName>
    <definedName name="IQ_RETAIL_SOLD_FRANCHISE_STORES" hidden="1">"c2897"</definedName>
    <definedName name="IQ_RETAIL_SOLD_OWNED_STORES" hidden="1">"c2905"</definedName>
    <definedName name="IQ_RETAIL_SOLD_STORES" hidden="1">"c2889"</definedName>
    <definedName name="IQ_RETAIL_SQ_FOOTAGE" hidden="1">"c2064"</definedName>
    <definedName name="IQ_RETAIL_STORE_SELLING_AREA" hidden="1">"c2065"</definedName>
    <definedName name="IQ_RETAIL_STORES_BEG" hidden="1">"c2885"</definedName>
    <definedName name="IQ_RETAIL_TOTAL_FRANCHISE_STORES" hidden="1">"c2898"</definedName>
    <definedName name="IQ_RETAIL_TOTAL_OWNED_STORES" hidden="1">"c2906"</definedName>
    <definedName name="IQ_RETAIL_TOTAL_STORES" hidden="1">"c2061"</definedName>
    <definedName name="IQ_RETAINED_EARN" hidden="1">"c1420"</definedName>
    <definedName name="IQ_RETURN_ASSETS" hidden="1">"c1113"</definedName>
    <definedName name="IQ_RETURN_ASSETS_ACT_OR_EST" hidden="1">"c3585"</definedName>
    <definedName name="IQ_RETURN_ASSETS_ACT_OR_EST_REUT" hidden="1">"c5475"</definedName>
    <definedName name="IQ_RETURN_ASSETS_BANK" hidden="1">"c1114"</definedName>
    <definedName name="IQ_RETURN_ASSETS_BROK" hidden="1">"c1115"</definedName>
    <definedName name="IQ_RETURN_ASSETS_EST" hidden="1">"c3529"</definedName>
    <definedName name="IQ_RETURN_ASSETS_EST_REUT" hidden="1">"c3990"</definedName>
    <definedName name="IQ_RETURN_ASSETS_FS" hidden="1">"c1116"</definedName>
    <definedName name="IQ_RETURN_ASSETS_GUIDANCE" hidden="1">"c4517"</definedName>
    <definedName name="IQ_RETURN_ASSETS_HIGH_EST" hidden="1">"c3530"</definedName>
    <definedName name="IQ_RETURN_ASSETS_HIGH_EST_REUT" hidden="1">"c3992"</definedName>
    <definedName name="IQ_RETURN_ASSETS_HIGH_GUIDANCE" hidden="1">"c4183"</definedName>
    <definedName name="IQ_RETURN_ASSETS_LOW_EST" hidden="1">"c3531"</definedName>
    <definedName name="IQ_RETURN_ASSETS_LOW_EST_REUT" hidden="1">"c3993"</definedName>
    <definedName name="IQ_RETURN_ASSETS_LOW_GUIDANCE" hidden="1">"c4223"</definedName>
    <definedName name="IQ_RETURN_ASSETS_MEDIAN_EST" hidden="1">"c3532"</definedName>
    <definedName name="IQ_RETURN_ASSETS_MEDIAN_EST_REUT" hidden="1">"c3991"</definedName>
    <definedName name="IQ_RETURN_ASSETS_NUM_EST" hidden="1">"c3527"</definedName>
    <definedName name="IQ_RETURN_ASSETS_NUM_EST_REUT" hidden="1">"c3994"</definedName>
    <definedName name="IQ_RETURN_ASSETS_STDDEV_EST" hidden="1">"c3528"</definedName>
    <definedName name="IQ_RETURN_ASSETS_STDDEV_EST_REUT" hidden="1">"c3995"</definedName>
    <definedName name="IQ_RETURN_CAPITAL" hidden="1">"c1117"</definedName>
    <definedName name="IQ_RETURN_EQUITY" hidden="1">"c1118"</definedName>
    <definedName name="IQ_RETURN_EQUITY_ACT_OR_EST" hidden="1">"c3586"</definedName>
    <definedName name="IQ_RETURN_EQUITY_ACT_OR_EST_REUT" hidden="1">"c5476"</definedName>
    <definedName name="IQ_RETURN_EQUITY_BANK" hidden="1">"c1119"</definedName>
    <definedName name="IQ_RETURN_EQUITY_BROK" hidden="1">"c1120"</definedName>
    <definedName name="IQ_RETURN_EQUITY_EST" hidden="1">"c3535"</definedName>
    <definedName name="IQ_RETURN_EQUITY_EST_REUT" hidden="1">"c3983"</definedName>
    <definedName name="IQ_RETURN_EQUITY_FS" hidden="1">"c1121"</definedName>
    <definedName name="IQ_RETURN_EQUITY_GUIDANCE" hidden="1">"c4518"</definedName>
    <definedName name="IQ_RETURN_EQUITY_HIGH_EST" hidden="1">"c3536"</definedName>
    <definedName name="IQ_RETURN_EQUITY_HIGH_EST_REUT" hidden="1">"c3985"</definedName>
    <definedName name="IQ_RETURN_EQUITY_HIGH_GUIDANCE" hidden="1">"c4182"</definedName>
    <definedName name="IQ_RETURN_EQUITY_LOW_EST" hidden="1">"c3537"</definedName>
    <definedName name="IQ_RETURN_EQUITY_LOW_EST_REUT" hidden="1">"c3986"</definedName>
    <definedName name="IQ_RETURN_EQUITY_LOW_GUIDANCE" hidden="1">"c4222"</definedName>
    <definedName name="IQ_RETURN_EQUITY_MEDIAN_EST" hidden="1">"c3538"</definedName>
    <definedName name="IQ_RETURN_EQUITY_MEDIAN_EST_REUT" hidden="1">"c3984"</definedName>
    <definedName name="IQ_RETURN_EQUITY_NUM_EST" hidden="1">"c3533"</definedName>
    <definedName name="IQ_RETURN_EQUITY_NUM_EST_REUT" hidden="1">"c3987"</definedName>
    <definedName name="IQ_RETURN_EQUITY_STDDEV_EST" hidden="1">"c3534"</definedName>
    <definedName name="IQ_RETURN_EQUITY_STDDEV_EST_REUT" hidden="1">"c3988"</definedName>
    <definedName name="IQ_RETURN_INVESTMENT" hidden="1">"c1421"</definedName>
    <definedName name="IQ_REV" hidden="1">"c1122"</definedName>
    <definedName name="IQ_REV_BEFORE_LL" hidden="1">"c1123"</definedName>
    <definedName name="IQ_REV_STDDEV_EST" hidden="1">"c1124"</definedName>
    <definedName name="IQ_REV_STDDEV_EST_REUT" hidden="1">"c3639"</definedName>
    <definedName name="IQ_REV_UTI" hidden="1">"c1125"</definedName>
    <definedName name="IQ_REVENUE" hidden="1">"c1422"</definedName>
    <definedName name="IQ_REVENUE_ACT_OR_EST" hidden="1">"c2214"</definedName>
    <definedName name="IQ_REVENUE_ACT_OR_EST_REUT" hidden="1">"c5461"</definedName>
    <definedName name="IQ_REVENUE_EST" hidden="1">"c1126"</definedName>
    <definedName name="IQ_REVENUE_EST_BOTTOM_UP" hidden="1">"c5488"</definedName>
    <definedName name="IQ_REVENUE_EST_BOTTOM_UP_REUT" hidden="1">"c5496"</definedName>
    <definedName name="IQ_REVENUE_EST_REUT" hidden="1">"c3634"</definedName>
    <definedName name="IQ_REVENUE_GUIDANCE" hidden="1">"c4519"</definedName>
    <definedName name="IQ_REVENUE_HIGH_EST" hidden="1">"c1127"</definedName>
    <definedName name="IQ_REVENUE_HIGH_EST_REUT" hidden="1">"c3636"</definedName>
    <definedName name="IQ_REVENUE_HIGH_GUIDANCE" hidden="1">"c4169"</definedName>
    <definedName name="IQ_REVENUE_LOW_EST" hidden="1">"c1128"</definedName>
    <definedName name="IQ_REVENUE_LOW_EST_REUT" hidden="1">"c3637"</definedName>
    <definedName name="IQ_REVENUE_LOW_GUIDANCE" hidden="1">"c4209"</definedName>
    <definedName name="IQ_REVENUE_MEDIAN_EST" hidden="1">"c1662"</definedName>
    <definedName name="IQ_REVENUE_MEDIAN_EST_REUT" hidden="1">"c3635"</definedName>
    <definedName name="IQ_REVENUE_NUM_EST" hidden="1">"c1129"</definedName>
    <definedName name="IQ_REVENUE_NUM_EST_REUT" hidden="1">"c3638"</definedName>
    <definedName name="IQ_REVISION_DATE_" hidden="1">39514.4572685185</definedName>
    <definedName name="IQ_RISK_ADJ_BANK_ASSETS" hidden="1">"c2670"</definedName>
    <definedName name="IQ_SALARY" hidden="1">"c1130"</definedName>
    <definedName name="IQ_SALE_INTAN_CF" hidden="1">"c1131"</definedName>
    <definedName name="IQ_SALE_INTAN_CF_BNK" hidden="1">"c1132"</definedName>
    <definedName name="IQ_SALE_INTAN_CF_BR" hidden="1">"c1133"</definedName>
    <definedName name="IQ_SALE_INTAN_CF_FIN" hidden="1">"c1134"</definedName>
    <definedName name="IQ_SALE_INTAN_CF_INS" hidden="1">"c1135"</definedName>
    <definedName name="IQ_SALE_INTAN_CF_RE" hidden="1">"c6284"</definedName>
    <definedName name="IQ_SALE_INTAN_CF_REIT" hidden="1">"c1627"</definedName>
    <definedName name="IQ_SALE_INTAN_CF_UTI" hidden="1">"c1136"</definedName>
    <definedName name="IQ_SALE_PPE_CF" hidden="1">"c1137"</definedName>
    <definedName name="IQ_SALE_PPE_CF_BNK" hidden="1">"c1138"</definedName>
    <definedName name="IQ_SALE_PPE_CF_BR" hidden="1">"c1139"</definedName>
    <definedName name="IQ_SALE_PPE_CF_FIN" hidden="1">"c1140"</definedName>
    <definedName name="IQ_SALE_PPE_CF_INS" hidden="1">"c1141"</definedName>
    <definedName name="IQ_SALE_PPE_CF_UTI" hidden="1">"c1142"</definedName>
    <definedName name="IQ_SALE_RE_ASSETS" hidden="1">"c1629"</definedName>
    <definedName name="IQ_SALE_REAL_ESTATE_CF" hidden="1">"c1143"</definedName>
    <definedName name="IQ_SALE_REAL_ESTATE_CF_BNK" hidden="1">"c1144"</definedName>
    <definedName name="IQ_SALE_REAL_ESTATE_CF_BR" hidden="1">"c1145"</definedName>
    <definedName name="IQ_SALE_REAL_ESTATE_CF_FIN" hidden="1">"c1146"</definedName>
    <definedName name="IQ_SALE_REAL_ESTATE_CF_INS" hidden="1">"c1147"</definedName>
    <definedName name="IQ_SALE_REAL_ESTATE_CF_UTI" hidden="1">"c1148"</definedName>
    <definedName name="IQ_SALES_MARKETING" hidden="1">"c2240"</definedName>
    <definedName name="IQ_SAME_STORE" hidden="1">"c1149"</definedName>
    <definedName name="IQ_SAME_STORE_FRANCHISE" hidden="1">"c2900"</definedName>
    <definedName name="IQ_SAME_STORE_OWNED" hidden="1">"c2908"</definedName>
    <definedName name="IQ_SAME_STORE_TOTAL" hidden="1">"c2892"</definedName>
    <definedName name="IQ_SAVING_DEP" hidden="1">"c1150"</definedName>
    <definedName name="IQ_SEC_PURCHASED_RESELL" hidden="1">"c5513"</definedName>
    <definedName name="IQ_SECUR_RECEIV" hidden="1">"c1151"</definedName>
    <definedName name="IQ_SECURED_DEBT" hidden="1">"c2546"</definedName>
    <definedName name="IQ_SECURED_DEBT_PCT" hidden="1">"c2547"</definedName>
    <definedName name="IQ_SECURITY_BORROW" hidden="1">"c1152"</definedName>
    <definedName name="IQ_SECURITY_LEVEL" hidden="1">"c2159"</definedName>
    <definedName name="IQ_SECURITY_NOTES" hidden="1">"c2202"</definedName>
    <definedName name="IQ_SECURITY_OWN" hidden="1">"c1153"</definedName>
    <definedName name="IQ_SECURITY_RESELL" hidden="1">"c1154"</definedName>
    <definedName name="IQ_SECURITY_TYPE" hidden="1">"c2158"</definedName>
    <definedName name="IQ_SEPARATE_ACCT_ASSETS" hidden="1">"c1155"</definedName>
    <definedName name="IQ_SEPARATE_ACCT_LIAB" hidden="1">"c1156"</definedName>
    <definedName name="IQ_SERV_CHARGE_DEPOSITS" hidden="1">"c1157"</definedName>
    <definedName name="IQ_SGA" hidden="1">"c1158"</definedName>
    <definedName name="IQ_SGA_BNK" hidden="1">"c1159"</definedName>
    <definedName name="IQ_SGA_INS" hidden="1">"c1160"</definedName>
    <definedName name="IQ_SGA_MARGIN" hidden="1">"c1898"</definedName>
    <definedName name="IQ_SGA_RE" hidden="1">"c6265"</definedName>
    <definedName name="IQ_SGA_REIT" hidden="1">"c1161"</definedName>
    <definedName name="IQ_SGA_SUPPL" hidden="1">"c1162"</definedName>
    <definedName name="IQ_SGA_UTI" hidden="1">"c1163"</definedName>
    <definedName name="IQ_SHAREOUTSTANDING" hidden="1">"c1347"</definedName>
    <definedName name="IQ_SHARES_PURCHASED_AVERAGE_PRICE" hidden="1">"c5821"</definedName>
    <definedName name="IQ_SHARES_PURCHASED_QUARTER" hidden="1">"c5820"</definedName>
    <definedName name="IQ_SHARESOUTSTANDING" hidden="1">"c1164"</definedName>
    <definedName name="IQ_SHORT_INTEREST" hidden="1">"c1165"</definedName>
    <definedName name="IQ_SHORT_INTEREST_OVER_FLOAT" hidden="1">"c1577"</definedName>
    <definedName name="IQ_SHORT_INTEREST_PERCENT" hidden="1">"c1576"</definedName>
    <definedName name="IQ_SHORT_TERM_INVEST" hidden="1">"c1425"</definedName>
    <definedName name="IQ_SMALL_INT_BEAR_CD" hidden="1">"c1166"</definedName>
    <definedName name="IQ_SOFTWARE" hidden="1">"c1167"</definedName>
    <definedName name="IQ_SOURCE" hidden="1">"c1168"</definedName>
    <definedName name="IQ_SP_BANK" hidden="1">"c2637"</definedName>
    <definedName name="IQ_SP_BANK_ACTION" hidden="1">"c2636"</definedName>
    <definedName name="IQ_SP_BANK_DATE" hidden="1">"c2635"</definedName>
    <definedName name="IQ_SP_FIN_ENHANCE_FX" hidden="1">"c2631"</definedName>
    <definedName name="IQ_SP_FIN_ENHANCE_FX_ACTION" hidden="1">"c2630"</definedName>
    <definedName name="IQ_SP_FIN_ENHANCE_FX_DATE" hidden="1">"c2629"</definedName>
    <definedName name="IQ_SP_FIN_ENHANCE_LC" hidden="1">"c2634"</definedName>
    <definedName name="IQ_SP_FIN_ENHANCE_LC_ACTION" hidden="1">"c2633"</definedName>
    <definedName name="IQ_SP_FIN_ENHANCE_LC_DATE" hidden="1">"c2632"</definedName>
    <definedName name="IQ_SP_FIN_STRENGTH_LC_ACTION_LT" hidden="1">"c2625"</definedName>
    <definedName name="IQ_SP_FIN_STRENGTH_LC_ACTION_ST" hidden="1">"c2626"</definedName>
    <definedName name="IQ_SP_FIN_STRENGTH_LC_DATE_LT" hidden="1">"c2623"</definedName>
    <definedName name="IQ_SP_FIN_STRENGTH_LC_DATE_ST" hidden="1">"c2624"</definedName>
    <definedName name="IQ_SP_FIN_STRENGTH_LC_LT" hidden="1">"c2627"</definedName>
    <definedName name="IQ_SP_FIN_STRENGTH_LC_ST" hidden="1">"c2628"</definedName>
    <definedName name="IQ_SP_FX_ACTION_LT" hidden="1">"c2613"</definedName>
    <definedName name="IQ_SP_FX_ACTION_ST" hidden="1">"c2614"</definedName>
    <definedName name="IQ_SP_FX_DATE_LT" hidden="1">"c2611"</definedName>
    <definedName name="IQ_SP_FX_DATE_ST" hidden="1">"c2612"</definedName>
    <definedName name="IQ_SP_FX_LT" hidden="1">"c2615"</definedName>
    <definedName name="IQ_SP_FX_ST" hidden="1">"c2616"</definedName>
    <definedName name="IQ_SP_ISSUE_ACTION" hidden="1">"c2644"</definedName>
    <definedName name="IQ_SP_ISSUE_DATE" hidden="1">"c2643"</definedName>
    <definedName name="IQ_SP_ISSUE_LT" hidden="1">"c2645"</definedName>
    <definedName name="IQ_SP_ISSUE_OUTLOOK_WATCH" hidden="1">"c2650"</definedName>
    <definedName name="IQ_SP_ISSUE_OUTLOOK_WATCH_DATE" hidden="1">"c2649"</definedName>
    <definedName name="IQ_SP_ISSUE_RECOVER" hidden="1">"c2648"</definedName>
    <definedName name="IQ_SP_ISSUE_RECOVER_ACTION" hidden="1">"c2647"</definedName>
    <definedName name="IQ_SP_ISSUE_RECOVER_DATE" hidden="1">"c2646"</definedName>
    <definedName name="IQ_SP_LC_ACTION_LT" hidden="1">"c2619"</definedName>
    <definedName name="IQ_SP_LC_ACTION_ST" hidden="1">"c2620"</definedName>
    <definedName name="IQ_SP_LC_DATE_LT" hidden="1">"c2617"</definedName>
    <definedName name="IQ_SP_LC_DATE_ST" hidden="1">"c2618"</definedName>
    <definedName name="IQ_SP_LC_LT" hidden="1">"c2621"</definedName>
    <definedName name="IQ_SP_LC_ST" hidden="1">"c2622"</definedName>
    <definedName name="IQ_SP_OUTLOOK_WATCH" hidden="1">"c2639"</definedName>
    <definedName name="IQ_SP_OUTLOOK_WATCH_DATE" hidden="1">"c2638"</definedName>
    <definedName name="IQ_SPECIAL_DIV_CF" hidden="1">"c1169"</definedName>
    <definedName name="IQ_SPECIAL_DIV_CF_BNK" hidden="1">"c1170"</definedName>
    <definedName name="IQ_SPECIAL_DIV_CF_BR" hidden="1">"c1171"</definedName>
    <definedName name="IQ_SPECIAL_DIV_CF_FIN" hidden="1">"c1172"</definedName>
    <definedName name="IQ_SPECIAL_DIV_CF_INS" hidden="1">"c1173"</definedName>
    <definedName name="IQ_SPECIAL_DIV_CF_RE" hidden="1">"c6266"</definedName>
    <definedName name="IQ_SPECIAL_DIV_CF_REIT" hidden="1">"c1174"</definedName>
    <definedName name="IQ_SPECIAL_DIV_CF_UTI" hidden="1">"c1175"</definedName>
    <definedName name="IQ_SPECIAL_DIV_SHARE" hidden="1">"c3007"</definedName>
    <definedName name="IQ_SR_BONDS_NOTES" hidden="1">"c2501"</definedName>
    <definedName name="IQ_SR_BONDS_NOTES_PCT" hidden="1">"c2502"</definedName>
    <definedName name="IQ_SR_DEBT" hidden="1">"c2526"</definedName>
    <definedName name="IQ_SR_DEBT_EBITDA" hidden="1">"c2552"</definedName>
    <definedName name="IQ_SR_DEBT_EBITDA_CAPEX" hidden="1">"c2553"</definedName>
    <definedName name="IQ_SR_DEBT_PCT" hidden="1">"c2527"</definedName>
    <definedName name="IQ_SR_SUB_DEBT" hidden="1">"c2530"</definedName>
    <definedName name="IQ_SR_SUB_DEBT_EBITDA" hidden="1">"c2556"</definedName>
    <definedName name="IQ_SR_SUB_DEBT_EBITDA_CAPEX" hidden="1">"c2557"</definedName>
    <definedName name="IQ_SR_SUB_DEBT_PCT" hidden="1">"c2531"</definedName>
    <definedName name="IQ_ST_DEBT" hidden="1">"c1176"</definedName>
    <definedName name="IQ_ST_DEBT_BNK" hidden="1">"c1177"</definedName>
    <definedName name="IQ_ST_DEBT_BR" hidden="1">"c1178"</definedName>
    <definedName name="IQ_ST_DEBT_FIN" hidden="1">"c1179"</definedName>
    <definedName name="IQ_ST_DEBT_INS" hidden="1">"c1180"</definedName>
    <definedName name="IQ_ST_DEBT_ISSUED" hidden="1">"c1181"</definedName>
    <definedName name="IQ_ST_DEBT_ISSUED_BNK" hidden="1">"c1182"</definedName>
    <definedName name="IQ_ST_DEBT_ISSUED_BR" hidden="1">"c1183"</definedName>
    <definedName name="IQ_ST_DEBT_ISSUED_FIN" hidden="1">"c1184"</definedName>
    <definedName name="IQ_ST_DEBT_ISSUED_INS" hidden="1">"c1185"</definedName>
    <definedName name="IQ_ST_DEBT_ISSUED_RE" hidden="1">"c6267"</definedName>
    <definedName name="IQ_ST_DEBT_ISSUED_REIT" hidden="1">"c1186"</definedName>
    <definedName name="IQ_ST_DEBT_ISSUED_UTI" hidden="1">"c1187"</definedName>
    <definedName name="IQ_ST_DEBT_PCT" hidden="1">"c2539"</definedName>
    <definedName name="IQ_ST_DEBT_RE" hidden="1">"c6268"</definedName>
    <definedName name="IQ_ST_DEBT_REIT" hidden="1">"c1188"</definedName>
    <definedName name="IQ_ST_DEBT_REPAID" hidden="1">"c1189"</definedName>
    <definedName name="IQ_ST_DEBT_REPAID_BNK" hidden="1">"c1190"</definedName>
    <definedName name="IQ_ST_DEBT_REPAID_BR" hidden="1">"c1191"</definedName>
    <definedName name="IQ_ST_DEBT_REPAID_FIN" hidden="1">"c1192"</definedName>
    <definedName name="IQ_ST_DEBT_REPAID_INS" hidden="1">"c1193"</definedName>
    <definedName name="IQ_ST_DEBT_REPAID_RE" hidden="1">"c6269"</definedName>
    <definedName name="IQ_ST_DEBT_REPAID_REIT" hidden="1">"c1194"</definedName>
    <definedName name="IQ_ST_DEBT_REPAID_UTI" hidden="1">"c1195"</definedName>
    <definedName name="IQ_ST_DEBT_UTI" hidden="1">"c1196"</definedName>
    <definedName name="IQ_ST_FHLB_DEBT" hidden="1">"c5658"</definedName>
    <definedName name="IQ_ST_INVEST" hidden="1">"c1197"</definedName>
    <definedName name="IQ_ST_INVEST_UTI" hidden="1">"c1198"</definedName>
    <definedName name="IQ_ST_NOTE_RECEIV" hidden="1">"c1199"</definedName>
    <definedName name="IQ_STATE" hidden="1">"c1200"</definedName>
    <definedName name="IQ_STATUTORY_SURPLUS" hidden="1">"c1201"</definedName>
    <definedName name="IQ_STOCK_BASED" hidden="1">"c1202"</definedName>
    <definedName name="IQ_STOCK_BASED_AT" hidden="1">"c2999"</definedName>
    <definedName name="IQ_STOCK_BASED_CF" hidden="1">"c1203"</definedName>
    <definedName name="IQ_STOCK_BASED_COGS" hidden="1">"c2990"</definedName>
    <definedName name="IQ_STOCK_BASED_COMP" hidden="1">"c3512"</definedName>
    <definedName name="IQ_STOCK_BASED_COMP_PRETAX" hidden="1">"c3510"</definedName>
    <definedName name="IQ_STOCK_BASED_COMP_TAX" hidden="1">"c3511"</definedName>
    <definedName name="IQ_STOCK_BASED_EST" hidden="1">"c4520"</definedName>
    <definedName name="IQ_STOCK_BASED_GA" hidden="1">"c2993"</definedName>
    <definedName name="IQ_STOCK_BASED_HIGH_EST" hidden="1">"c4521"</definedName>
    <definedName name="IQ_STOCK_BASED_LOW_EST" hidden="1">"c4522"</definedName>
    <definedName name="IQ_STOCK_BASED_MEDIAN_EST" hidden="1">"c4523"</definedName>
    <definedName name="IQ_STOCK_BASED_NUM_EST" hidden="1">"c4524"</definedName>
    <definedName name="IQ_STOCK_BASED_OTHER" hidden="1">"c2995"</definedName>
    <definedName name="IQ_STOCK_BASED_RD" hidden="1">"c2991"</definedName>
    <definedName name="IQ_STOCK_BASED_SGA" hidden="1">"c2994"</definedName>
    <definedName name="IQ_STOCK_BASED_SM" hidden="1">"c2992"</definedName>
    <definedName name="IQ_STOCK_BASED_STDDEV_EST" hidden="1">"c4525"</definedName>
    <definedName name="IQ_STOCK_BASED_TOTAL" hidden="1">"c3040"</definedName>
    <definedName name="IQ_STOCK_OPTIONS_COMP" hidden="1">"c3509"</definedName>
    <definedName name="IQ_STOCK_OPTIONS_COMP_PRETAX" hidden="1">"c3507"</definedName>
    <definedName name="IQ_STOCK_OPTIONS_COMP_TAX" hidden="1">"c3508"</definedName>
    <definedName name="IQ_STRIKE_PRICE_ISSUED" hidden="1">"c1645"</definedName>
    <definedName name="IQ_STRIKE_PRICE_OS" hidden="1">"c1646"</definedName>
    <definedName name="IQ_STW" hidden="1">"c2166"</definedName>
    <definedName name="IQ_SUB_BONDS_NOTES" hidden="1">"c2503"</definedName>
    <definedName name="IQ_SUB_BONDS_NOTES_PCT" hidden="1">"c2504"</definedName>
    <definedName name="IQ_SUB_DEBT" hidden="1">"c2532"</definedName>
    <definedName name="IQ_SUB_DEBT_EBITDA" hidden="1">"c2558"</definedName>
    <definedName name="IQ_SUB_DEBT_EBITDA_CAPEX" hidden="1">"c2559"</definedName>
    <definedName name="IQ_SUB_DEBT_PCT" hidden="1">"c2533"</definedName>
    <definedName name="IQ_SUB_LEASE_AFTER_FIVE" hidden="1">"c1207"</definedName>
    <definedName name="IQ_SUB_LEASE_INC_CY" hidden="1">"c1208"</definedName>
    <definedName name="IQ_SUB_LEASE_INC_CY1" hidden="1">"c1209"</definedName>
    <definedName name="IQ_SUB_LEASE_INC_CY2" hidden="1">"c1210"</definedName>
    <definedName name="IQ_SUB_LEASE_INC_CY3" hidden="1">"c1211"</definedName>
    <definedName name="IQ_SUB_LEASE_INC_CY4" hidden="1">"c1212"</definedName>
    <definedName name="IQ_SUB_LEASE_NEXT_FIVE" hidden="1">"c1213"</definedName>
    <definedName name="IQ_SVA" hidden="1">"c1214"</definedName>
    <definedName name="IQ_TARGET_PRICE_NUM" hidden="1">"c1653"</definedName>
    <definedName name="IQ_TARGET_PRICE_NUM_REUT" hidden="1">"c5319"</definedName>
    <definedName name="IQ_TARGET_PRICE_STDDEV" hidden="1">"c1654"</definedName>
    <definedName name="IQ_TARGET_PRICE_STDDEV_REUT" hidden="1">"c5320"</definedName>
    <definedName name="IQ_TAX_BENEFIT_CF_1YR" hidden="1">"c3483"</definedName>
    <definedName name="IQ_TAX_BENEFIT_CF_2YR" hidden="1">"c3484"</definedName>
    <definedName name="IQ_TAX_BENEFIT_CF_3YR" hidden="1">"c3485"</definedName>
    <definedName name="IQ_TAX_BENEFIT_CF_4YR" hidden="1">"c3486"</definedName>
    <definedName name="IQ_TAX_BENEFIT_CF_5YR" hidden="1">"c3487"</definedName>
    <definedName name="IQ_TAX_BENEFIT_CF_AFTER_FIVE" hidden="1">"c3488"</definedName>
    <definedName name="IQ_TAX_BENEFIT_CF_MAX_YEAR" hidden="1">"c3491"</definedName>
    <definedName name="IQ_TAX_BENEFIT_CF_NO_EXP" hidden="1">"c3489"</definedName>
    <definedName name="IQ_TAX_BENEFIT_CF_TOTAL" hidden="1">"c3490"</definedName>
    <definedName name="IQ_TAX_BENEFIT_OPTIONS" hidden="1">"c1215"</definedName>
    <definedName name="IQ_TAX_EQUIV_NET_INT_INC" hidden="1">"c1216"</definedName>
    <definedName name="IQ_TBV" hidden="1">"c1906"</definedName>
    <definedName name="IQ_TBV_10YR_ANN_CAGR" hidden="1">"c6169"</definedName>
    <definedName name="IQ_TBV_10YR_ANN_GROWTH" hidden="1">"c1936"</definedName>
    <definedName name="IQ_TBV_1YR_ANN_GROWTH" hidden="1">"c1931"</definedName>
    <definedName name="IQ_TBV_2YR_ANN_CAGR" hidden="1">"c6165"</definedName>
    <definedName name="IQ_TBV_2YR_ANN_GROWTH" hidden="1">"c1932"</definedName>
    <definedName name="IQ_TBV_3YR_ANN_CAGR" hidden="1">"c6166"</definedName>
    <definedName name="IQ_TBV_3YR_ANN_GROWTH" hidden="1">"c1933"</definedName>
    <definedName name="IQ_TBV_5YR_ANN_CAGR" hidden="1">"c6167"</definedName>
    <definedName name="IQ_TBV_5YR_ANN_GROWTH" hidden="1">"c1934"</definedName>
    <definedName name="IQ_TBV_7YR_ANN_CAGR" hidden="1">"c6168"</definedName>
    <definedName name="IQ_TBV_7YR_ANN_GROWTH" hidden="1">"c1935"</definedName>
    <definedName name="IQ_TBV_SHARE" hidden="1">"c1217"</definedName>
    <definedName name="IQ_TEMPLATE" hidden="1">"c1521"</definedName>
    <definedName name="IQ_TENANT" hidden="1">"c1218"</definedName>
    <definedName name="IQ_TERM_LOANS" hidden="1">"c2499"</definedName>
    <definedName name="IQ_TERM_LOANS_PCT" hidden="1">"c2500"</definedName>
    <definedName name="IQ_TEV" hidden="1">"c1219"</definedName>
    <definedName name="IQ_TEV_EBIT" hidden="1">"c1220"</definedName>
    <definedName name="IQ_TEV_EBIT_AVG" hidden="1">"c1221"</definedName>
    <definedName name="IQ_TEV_EBIT_FWD" hidden="1">"c2238"</definedName>
    <definedName name="IQ_TEV_EBIT_FWD_REUT" hidden="1">"c4054"</definedName>
    <definedName name="IQ_TEV_EBITDA" hidden="1">"c1222"</definedName>
    <definedName name="IQ_TEV_EBITDA_AVG" hidden="1">"c1223"</definedName>
    <definedName name="IQ_TEV_EBITDA_FWD" hidden="1">"c1224"</definedName>
    <definedName name="IQ_TEV_EBITDA_FWD_REUT" hidden="1">"c4050"</definedName>
    <definedName name="IQ_TEV_EMPLOYEE_AVG" hidden="1">"c1225"</definedName>
    <definedName name="IQ_TEV_EST" hidden="1">"c4526"</definedName>
    <definedName name="IQ_TEV_HIGH_EST" hidden="1">"c4527"</definedName>
    <definedName name="IQ_TEV_LOW_EST" hidden="1">"c4528"</definedName>
    <definedName name="IQ_TEV_MEDIAN_EST" hidden="1">"c4529"</definedName>
    <definedName name="IQ_TEV_NUM_EST" hidden="1">"c4530"</definedName>
    <definedName name="IQ_TEV_STDDEV_EST" hidden="1">"c4531"</definedName>
    <definedName name="IQ_TEV_TOTAL_REV" hidden="1">"c1226"</definedName>
    <definedName name="IQ_TEV_TOTAL_REV_AVG" hidden="1">"c1227"</definedName>
    <definedName name="IQ_TEV_TOTAL_REV_FWD" hidden="1">"c1228"</definedName>
    <definedName name="IQ_TEV_TOTAL_REV_FWD_REUT" hidden="1">"c4051"</definedName>
    <definedName name="IQ_TEV_UFCF" hidden="1">"c2208"</definedName>
    <definedName name="IQ_TIER_ONE_CAPITAL" hidden="1">"c2667"</definedName>
    <definedName name="IQ_TIER_ONE_RATIO" hidden="1">"c1229"</definedName>
    <definedName name="IQ_TIER_TWO_CAPITAL" hidden="1">"c2669"</definedName>
    <definedName name="IQ_TIME_DEP" hidden="1">"c1230"</definedName>
    <definedName name="IQ_TODAY" hidden="1">0</definedName>
    <definedName name="IQ_TOT_ADJ_INC" hidden="1">"c1616"</definedName>
    <definedName name="IQ_TOTAL_AR_BR" hidden="1">"c1231"</definedName>
    <definedName name="IQ_TOTAL_AR_RE" hidden="1">"c6270"</definedName>
    <definedName name="IQ_TOTAL_AR_REIT" hidden="1">"c1232"</definedName>
    <definedName name="IQ_TOTAL_AR_UTI" hidden="1">"c1233"</definedName>
    <definedName name="IQ_TOTAL_ASSETS" hidden="1">"c1234"</definedName>
    <definedName name="IQ_TOTAL_ASSETS_10YR_ANN_CAGR" hidden="1">"c6140"</definedName>
    <definedName name="IQ_TOTAL_ASSETS_10YR_ANN_GROWTH" hidden="1">"c1235"</definedName>
    <definedName name="IQ_TOTAL_ASSETS_1YR_ANN_GROWTH" hidden="1">"c1236"</definedName>
    <definedName name="IQ_TOTAL_ASSETS_2YR_ANN_CAGR" hidden="1">"c6141"</definedName>
    <definedName name="IQ_TOTAL_ASSETS_2YR_ANN_GROWTH" hidden="1">"c1237"</definedName>
    <definedName name="IQ_TOTAL_ASSETS_3YR_ANN_CAGR" hidden="1">"c6142"</definedName>
    <definedName name="IQ_TOTAL_ASSETS_3YR_ANN_GROWTH" hidden="1">"c1238"</definedName>
    <definedName name="IQ_TOTAL_ASSETS_5YR_ANN_CAGR" hidden="1">"c6143"</definedName>
    <definedName name="IQ_TOTAL_ASSETS_5YR_ANN_GROWTH" hidden="1">"c1239"</definedName>
    <definedName name="IQ_TOTAL_ASSETS_7YR_ANN_CAGR" hidden="1">"c6144"</definedName>
    <definedName name="IQ_TOTAL_ASSETS_7YR_ANN_GROWTH" hidden="1">"c1240"</definedName>
    <definedName name="IQ_TOTAL_AVG_CE_TOTAL_AVG_ASSETS" hidden="1">"c1241"</definedName>
    <definedName name="IQ_TOTAL_AVG_EQUITY_TOTAL_AVG_ASSETS" hidden="1">"c1242"</definedName>
    <definedName name="IQ_TOTAL_BANK_CAPITAL" hidden="1">"c2668"</definedName>
    <definedName name="IQ_TOTAL_CA" hidden="1">"c1243"</definedName>
    <definedName name="IQ_TOTAL_CAP" hidden="1">"c1507"</definedName>
    <definedName name="IQ_TOTAL_CAPITAL_RATIO" hidden="1">"c1244"</definedName>
    <definedName name="IQ_TOTAL_CASH_DIVID" hidden="1">"c1455"</definedName>
    <definedName name="IQ_TOTAL_CASH_FINAN" hidden="1">"c1352"</definedName>
    <definedName name="IQ_TOTAL_CASH_INVEST" hidden="1">"c1353"</definedName>
    <definedName name="IQ_TOTAL_CASH_OPER" hidden="1">"c1354"</definedName>
    <definedName name="IQ_TOTAL_CHURN" hidden="1">"c2122"</definedName>
    <definedName name="IQ_TOTAL_CL" hidden="1">"c1245"</definedName>
    <definedName name="IQ_TOTAL_COMMON" hidden="1">"c1411"</definedName>
    <definedName name="IQ_TOTAL_COMMON_EQUITY" hidden="1">"c1246"</definedName>
    <definedName name="IQ_TOTAL_CURRENT_ASSETS" hidden="1">"c1430"</definedName>
    <definedName name="IQ_TOTAL_CURRENT_LIAB" hidden="1">"c1431"</definedName>
    <definedName name="IQ_TOTAL_DEBT" hidden="1">"c1247"</definedName>
    <definedName name="IQ_TOTAL_DEBT_CAPITAL" hidden="1">"c1248"</definedName>
    <definedName name="IQ_TOTAL_DEBT_EBITDA" hidden="1">"c1249"</definedName>
    <definedName name="IQ_TOTAL_DEBT_EBITDA_CAPEX" hidden="1">"c2948"</definedName>
    <definedName name="IQ_TOTAL_DEBT_EQUITY" hidden="1">"c1250"</definedName>
    <definedName name="IQ_TOTAL_DEBT_EST" hidden="1">"c4532"</definedName>
    <definedName name="IQ_TOTAL_DEBT_EXCL_FIN" hidden="1">"c2937"</definedName>
    <definedName name="IQ_TOTAL_DEBT_GUIDANCE" hidden="1">"c4533"</definedName>
    <definedName name="IQ_TOTAL_DEBT_HIGH_EST" hidden="1">"c4534"</definedName>
    <definedName name="IQ_TOTAL_DEBT_HIGH_GUIDANCE" hidden="1">"c4196"</definedName>
    <definedName name="IQ_TOTAL_DEBT_ISSUED" hidden="1">"c1251"</definedName>
    <definedName name="IQ_TOTAL_DEBT_ISSUED_BNK" hidden="1">"c1252"</definedName>
    <definedName name="IQ_TOTAL_DEBT_ISSUED_BR" hidden="1">"c1253"</definedName>
    <definedName name="IQ_TOTAL_DEBT_ISSUED_FIN" hidden="1">"c1254"</definedName>
    <definedName name="IQ_TOTAL_DEBT_ISSUED_RE" hidden="1">"c6271"</definedName>
    <definedName name="IQ_TOTAL_DEBT_ISSUED_REIT" hidden="1">"c1255"</definedName>
    <definedName name="IQ_TOTAL_DEBT_ISSUED_UTI" hidden="1">"c1256"</definedName>
    <definedName name="IQ_TOTAL_DEBT_ISSUES_INS" hidden="1">"c1257"</definedName>
    <definedName name="IQ_TOTAL_DEBT_LOW_EST" hidden="1">"c4535"</definedName>
    <definedName name="IQ_TOTAL_DEBT_LOW_GUIDANCE" hidden="1">"c4236"</definedName>
    <definedName name="IQ_TOTAL_DEBT_MEDIAN_EST" hidden="1">"c4536"</definedName>
    <definedName name="IQ_TOTAL_DEBT_NUM_EST" hidden="1">"c4537"</definedName>
    <definedName name="IQ_TOTAL_DEBT_OVER_EBITDA" hidden="1">"c1433"</definedName>
    <definedName name="IQ_TOTAL_DEBT_OVER_TOTAL_BV" hidden="1">"c1434"</definedName>
    <definedName name="IQ_TOTAL_DEBT_OVER_TOTAL_CAP" hidden="1">"c1432"</definedName>
    <definedName name="IQ_TOTAL_DEBT_REPAID" hidden="1">"c1258"</definedName>
    <definedName name="IQ_TOTAL_DEBT_REPAID_BNK" hidden="1">"c1259"</definedName>
    <definedName name="IQ_TOTAL_DEBT_REPAID_BR" hidden="1">"c1260"</definedName>
    <definedName name="IQ_TOTAL_DEBT_REPAID_FIN" hidden="1">"c1261"</definedName>
    <definedName name="IQ_TOTAL_DEBT_REPAID_INS" hidden="1">"c1262"</definedName>
    <definedName name="IQ_TOTAL_DEBT_REPAID_RE" hidden="1">"c6272"</definedName>
    <definedName name="IQ_TOTAL_DEBT_REPAID_REIT" hidden="1">"c1263"</definedName>
    <definedName name="IQ_TOTAL_DEBT_REPAID_UTI" hidden="1">"c1264"</definedName>
    <definedName name="IQ_TOTAL_DEBT_STDDEV_EST" hidden="1">"c4538"</definedName>
    <definedName name="IQ_TOTAL_DEPOSITS" hidden="1">"c1265"</definedName>
    <definedName name="IQ_TOTAL_DIV_PAID_CF" hidden="1">"c1266"</definedName>
    <definedName name="IQ_TOTAL_EMPLOYEE" hidden="1">"c2141"</definedName>
    <definedName name="IQ_TOTAL_EMPLOYEES" hidden="1">"c1522"</definedName>
    <definedName name="IQ_TOTAL_EQUITY" hidden="1">"c1267"</definedName>
    <definedName name="IQ_TOTAL_EQUITY_10YR_ANN_CAGR" hidden="1">"c6145"</definedName>
    <definedName name="IQ_TOTAL_EQUITY_10YR_ANN_GROWTH" hidden="1">"c1268"</definedName>
    <definedName name="IQ_TOTAL_EQUITY_1YR_ANN_GROWTH" hidden="1">"c1269"</definedName>
    <definedName name="IQ_TOTAL_EQUITY_2YR_ANN_CAGR" hidden="1">"c6146"</definedName>
    <definedName name="IQ_TOTAL_EQUITY_2YR_ANN_GROWTH" hidden="1">"c1270"</definedName>
    <definedName name="IQ_TOTAL_EQUITY_3YR_ANN_CAGR" hidden="1">"c6147"</definedName>
    <definedName name="IQ_TOTAL_EQUITY_3YR_ANN_GROWTH" hidden="1">"c1271"</definedName>
    <definedName name="IQ_TOTAL_EQUITY_5YR_ANN_CAGR" hidden="1">"c6148"</definedName>
    <definedName name="IQ_TOTAL_EQUITY_5YR_ANN_GROWTH" hidden="1">"c1272"</definedName>
    <definedName name="IQ_TOTAL_EQUITY_7YR_ANN_CAGR" hidden="1">"c6149"</definedName>
    <definedName name="IQ_TOTAL_EQUITY_7YR_ANN_GROWTH" hidden="1">"c1273"</definedName>
    <definedName name="IQ_TOTAL_EQUITY_ALLOWANCE_TOTAL_LOANS" hidden="1">"c1274"</definedName>
    <definedName name="IQ_TOTAL_INTEREST_EXP" hidden="1">"c1382"</definedName>
    <definedName name="IQ_TOTAL_INVENTORY" hidden="1">"c1385"</definedName>
    <definedName name="IQ_TOTAL_INVEST" hidden="1">"c1275"</definedName>
    <definedName name="IQ_TOTAL_LIAB" hidden="1">"c1276"</definedName>
    <definedName name="IQ_TOTAL_LIAB_BNK" hidden="1">"c1277"</definedName>
    <definedName name="IQ_TOTAL_LIAB_BR" hidden="1">"c1278"</definedName>
    <definedName name="IQ_TOTAL_LIAB_EQUITY" hidden="1">"c1279"</definedName>
    <definedName name="IQ_TOTAL_LIAB_FIN" hidden="1">"c1280"</definedName>
    <definedName name="IQ_TOTAL_LIAB_INS" hidden="1">"c1281"</definedName>
    <definedName name="IQ_TOTAL_LIAB_RE" hidden="1">"c6273"</definedName>
    <definedName name="IQ_TOTAL_LIAB_REIT" hidden="1">"c1282"</definedName>
    <definedName name="IQ_TOTAL_LIAB_SHAREHOLD" hidden="1">"c1435"</definedName>
    <definedName name="IQ_TOTAL_LIAB_TOTAL_ASSETS" hidden="1">"c1283"</definedName>
    <definedName name="IQ_TOTAL_LOANS" hidden="1">"c5653"</definedName>
    <definedName name="IQ_TOTAL_LONG_DEBT" hidden="1">"c1617"</definedName>
    <definedName name="IQ_TOTAL_NON_REC" hidden="1">"c1444"</definedName>
    <definedName name="IQ_TOTAL_OPER_EXP_BR" hidden="1">"c1284"</definedName>
    <definedName name="IQ_TOTAL_OPER_EXP_FIN" hidden="1">"c1285"</definedName>
    <definedName name="IQ_TOTAL_OPER_EXP_INS" hidden="1">"c1286"</definedName>
    <definedName name="IQ_TOTAL_OPER_EXP_RE" hidden="1">"c6274"</definedName>
    <definedName name="IQ_TOTAL_OPER_EXP_REIT" hidden="1">"c1287"</definedName>
    <definedName name="IQ_TOTAL_OPER_EXP_UTI" hidden="1">"c1288"</definedName>
    <definedName name="IQ_TOTAL_OPER_EXPEN" hidden="1">"c1445"</definedName>
    <definedName name="IQ_TOTAL_OPTIONS_BEG_OS" hidden="1">"c2693"</definedName>
    <definedName name="IQ_TOTAL_OPTIONS_CANCELLED" hidden="1">"c2696"</definedName>
    <definedName name="IQ_TOTAL_OPTIONS_END_OS" hidden="1">"c2697"</definedName>
    <definedName name="IQ_TOTAL_OPTIONS_EXERCISABLE_END_OS" hidden="1">"c5819"</definedName>
    <definedName name="IQ_TOTAL_OPTIONS_EXERCISED" hidden="1">"c2695"</definedName>
    <definedName name="IQ_TOTAL_OPTIONS_GRANTED" hidden="1">"c2694"</definedName>
    <definedName name="IQ_TOTAL_OTHER_OPER" hidden="1">"c1289"</definedName>
    <definedName name="IQ_TOTAL_OUTSTANDING_BS_DATE" hidden="1">"c1022"</definedName>
    <definedName name="IQ_TOTAL_OUTSTANDING_FILING_DATE" hidden="1">"c2107"</definedName>
    <definedName name="IQ_TOTAL_PENSION_ASSETS" hidden="1">"c1290"</definedName>
    <definedName name="IQ_TOTAL_PENSION_ASSETS_DOMESTIC" hidden="1">"c2658"</definedName>
    <definedName name="IQ_TOTAL_PENSION_ASSETS_FOREIGN" hidden="1">"c2666"</definedName>
    <definedName name="IQ_TOTAL_PENSION_EXP" hidden="1">"c1291"</definedName>
    <definedName name="IQ_TOTAL_PRINCIPAL" hidden="1">"c2509"</definedName>
    <definedName name="IQ_TOTAL_PRINCIPAL_PCT" hidden="1">"c2510"</definedName>
    <definedName name="IQ_TOTAL_PROVED_RESERVES_NGL" hidden="1">"c2924"</definedName>
    <definedName name="IQ_TOTAL_PROVED_RESERVES_OIL" hidden="1">"c2040"</definedName>
    <definedName name="IQ_TOTAL_RECEIV" hidden="1">"c1293"</definedName>
    <definedName name="IQ_TOTAL_REV" hidden="1">"c1294"</definedName>
    <definedName name="IQ_TOTAL_REV_10YR_ANN_CAGR" hidden="1">"c6150"</definedName>
    <definedName name="IQ_TOTAL_REV_10YR_ANN_GROWTH" hidden="1">"c1295"</definedName>
    <definedName name="IQ_TOTAL_REV_1YR_ANN_GROWTH" hidden="1">"c1296"</definedName>
    <definedName name="IQ_TOTAL_REV_2YR_ANN_CAGR" hidden="1">"c6151"</definedName>
    <definedName name="IQ_TOTAL_REV_2YR_ANN_GROWTH" hidden="1">"c1297"</definedName>
    <definedName name="IQ_TOTAL_REV_3YR_ANN_CAGR" hidden="1">"c6152"</definedName>
    <definedName name="IQ_TOTAL_REV_3YR_ANN_GROWTH" hidden="1">"c1298"</definedName>
    <definedName name="IQ_TOTAL_REV_5YR_ANN_CAGR" hidden="1">"c6153"</definedName>
    <definedName name="IQ_TOTAL_REV_5YR_ANN_GROWTH" hidden="1">"c1299"</definedName>
    <definedName name="IQ_TOTAL_REV_7YR_ANN_CAGR" hidden="1">"c6154"</definedName>
    <definedName name="IQ_TOTAL_REV_7YR_ANN_GROWTH" hidden="1">"c1300"</definedName>
    <definedName name="IQ_TOTAL_REV_AS_REPORTED" hidden="1">"c1301"</definedName>
    <definedName name="IQ_TOTAL_REV_BNK" hidden="1">"c1302"</definedName>
    <definedName name="IQ_TOTAL_REV_BR" hidden="1">"c1303"</definedName>
    <definedName name="IQ_TOTAL_REV_EMPLOYEE" hidden="1">"c1304"</definedName>
    <definedName name="IQ_TOTAL_REV_FIN" hidden="1">"c1305"</definedName>
    <definedName name="IQ_TOTAL_REV_INS" hidden="1">"c1306"</definedName>
    <definedName name="IQ_TOTAL_REV_RE" hidden="1">"c6275"</definedName>
    <definedName name="IQ_TOTAL_REV_REIT" hidden="1">"c1307"</definedName>
    <definedName name="IQ_TOTAL_REV_SHARE" hidden="1">"c1912"</definedName>
    <definedName name="IQ_TOTAL_REV_UTI" hidden="1">"c1308"</definedName>
    <definedName name="IQ_TOTAL_REVENUE" hidden="1">"c1436"</definedName>
    <definedName name="IQ_TOTAL_SPECIAL" hidden="1">"c1618"</definedName>
    <definedName name="IQ_TOTAL_ST_BORROW" hidden="1">"c1424"</definedName>
    <definedName name="IQ_TOTAL_SUB_DEBT" hidden="1">"c2528"</definedName>
    <definedName name="IQ_TOTAL_SUB_DEBT_EBITDA" hidden="1">"c2554"</definedName>
    <definedName name="IQ_TOTAL_SUB_DEBT_EBITDA_CAPEX" hidden="1">"c2555"</definedName>
    <definedName name="IQ_TOTAL_SUB_DEBT_PCT" hidden="1">"c2529"</definedName>
    <definedName name="IQ_TOTAL_SUBS" hidden="1">"c2119"</definedName>
    <definedName name="IQ_TOTAL_UNUSUAL" hidden="1">"c1508"</definedName>
    <definedName name="IQ_TOTAL_UNUSUAL_BNK" hidden="1">"c5516"</definedName>
    <definedName name="IQ_TOTAL_UNUSUAL_BR" hidden="1">"c5517"</definedName>
    <definedName name="IQ_TOTAL_UNUSUAL_FIN" hidden="1">"c5518"</definedName>
    <definedName name="IQ_TOTAL_UNUSUAL_INS" hidden="1">"c5519"</definedName>
    <definedName name="IQ_TOTAL_UNUSUAL_RE" hidden="1">"c6286"</definedName>
    <definedName name="IQ_TOTAL_UNUSUAL_REIT" hidden="1">"c5520"</definedName>
    <definedName name="IQ_TOTAL_UNUSUAL_UTI" hidden="1">"c5521"</definedName>
    <definedName name="IQ_TOTAL_WARRANTS_BEG_OS" hidden="1">"c2719"</definedName>
    <definedName name="IQ_TOTAL_WARRANTS_CANCELLED" hidden="1">"c2722"</definedName>
    <definedName name="IQ_TOTAL_WARRANTS_END_OS" hidden="1">"c2723"</definedName>
    <definedName name="IQ_TOTAL_WARRANTS_EXERCISED" hidden="1">"c2721"</definedName>
    <definedName name="IQ_TOTAL_WARRANTS_ISSUED" hidden="1">"c2720"</definedName>
    <definedName name="IQ_TR_ACCT_METHOD" hidden="1">"c2363"</definedName>
    <definedName name="IQ_TR_ACQ_52_WK_HI_PCT" hidden="1">"c2348"</definedName>
    <definedName name="IQ_TR_ACQ_52_WK_LOW_PCT" hidden="1">"c2347"</definedName>
    <definedName name="IQ_TR_ACQ_CASH_ST_INVEST" hidden="1">"c2372"</definedName>
    <definedName name="IQ_TR_ACQ_CLOSEPRICE_1D" hidden="1">"c3027"</definedName>
    <definedName name="IQ_TR_ACQ_DILUT_EPS_EXCL" hidden="1">"c3028"</definedName>
    <definedName name="IQ_TR_ACQ_EARNING_CO" hidden="1">"c2379"</definedName>
    <definedName name="IQ_TR_ACQ_EBIT" hidden="1">"c2380"</definedName>
    <definedName name="IQ_TR_ACQ_EBIT_EQ_INC" hidden="1">"c3611"</definedName>
    <definedName name="IQ_TR_ACQ_EBITDA" hidden="1">"c2381"</definedName>
    <definedName name="IQ_TR_ACQ_EBITDA_EQ_INC" hidden="1">"c3610"</definedName>
    <definedName name="IQ_TR_ACQ_FILING_CURRENCY" hidden="1">"c3033"</definedName>
    <definedName name="IQ_TR_ACQ_FILINGDATE" hidden="1">"c3607"</definedName>
    <definedName name="IQ_TR_ACQ_MCAP_1DAY" hidden="1">"c2345"</definedName>
    <definedName name="IQ_TR_ACQ_MIN_INT" hidden="1">"c2374"</definedName>
    <definedName name="IQ_TR_ACQ_NET_DEBT" hidden="1">"c2373"</definedName>
    <definedName name="IQ_TR_ACQ_NI" hidden="1">"c2378"</definedName>
    <definedName name="IQ_TR_ACQ_PERIODDATE" hidden="1">"c3606"</definedName>
    <definedName name="IQ_TR_ACQ_PRICEDATE_1D" hidden="1">"c2346"</definedName>
    <definedName name="IQ_TR_ACQ_RETURN" hidden="1">"c2349"</definedName>
    <definedName name="IQ_TR_ACQ_STOCKYEARHIGH_1D" hidden="1">"c2343"</definedName>
    <definedName name="IQ_TR_ACQ_STOCKYEARLOW_1D" hidden="1">"c2344"</definedName>
    <definedName name="IQ_TR_ACQ_TOTAL_ASSETS" hidden="1">"c2371"</definedName>
    <definedName name="IQ_TR_ACQ_TOTAL_COMMON_EQ" hidden="1">"c2377"</definedName>
    <definedName name="IQ_TR_ACQ_TOTAL_DEBT" hidden="1">"c2376"</definedName>
    <definedName name="IQ_TR_ACQ_TOTAL_PREF" hidden="1">"c2375"</definedName>
    <definedName name="IQ_TR_ACQ_TOTAL_REV" hidden="1">"c2382"</definedName>
    <definedName name="IQ_TR_ADJ_SIZE" hidden="1">"c3024"</definedName>
    <definedName name="IQ_TR_ANN_DATE" hidden="1">"c2395"</definedName>
    <definedName name="IQ_TR_ANN_DATE_BL" hidden="1">"c2394"</definedName>
    <definedName name="IQ_TR_BID_DATE" hidden="1">"c2357"</definedName>
    <definedName name="IQ_TR_BLUESKY_FEES" hidden="1">"c2277"</definedName>
    <definedName name="IQ_TR_BUY_ACC_ADVISORS" hidden="1">"c3048"</definedName>
    <definedName name="IQ_TR_BUY_FIN_ADVISORS" hidden="1">"c3045"</definedName>
    <definedName name="IQ_TR_BUY_LEG_ADVISORS" hidden="1">"c2387"</definedName>
    <definedName name="IQ_TR_BUYER_ID" hidden="1">"c2404"</definedName>
    <definedName name="IQ_TR_BUYERNAME" hidden="1">"c2401"</definedName>
    <definedName name="IQ_TR_CANCELLED_DATE" hidden="1">"c2284"</definedName>
    <definedName name="IQ_TR_CASH_CONSID_PCT" hidden="1">"c2296"</definedName>
    <definedName name="IQ_TR_CASH_ST_INVEST" hidden="1">"c3025"</definedName>
    <definedName name="IQ_TR_CHANGE_CONTROL" hidden="1">"c2365"</definedName>
    <definedName name="IQ_TR_CLOSED_DATE" hidden="1">"c2283"</definedName>
    <definedName name="IQ_TR_CO_NET_PROCEEDS" hidden="1">"c2268"</definedName>
    <definedName name="IQ_TR_CO_NET_PROCEEDS_PCT" hidden="1">"c2270"</definedName>
    <definedName name="IQ_TR_COMMENTS" hidden="1">"c2383"</definedName>
    <definedName name="IQ_TR_CURRENCY" hidden="1">"c3016"</definedName>
    <definedName name="IQ_TR_DEAL_ATTITUDE" hidden="1">"c2364"</definedName>
    <definedName name="IQ_TR_DEAL_CONDITIONS" hidden="1">"c2367"</definedName>
    <definedName name="IQ_TR_DEAL_RESOLUTION" hidden="1">"c2391"</definedName>
    <definedName name="IQ_TR_DEAL_RESPONSES" hidden="1">"c2366"</definedName>
    <definedName name="IQ_TR_DEBT_CONSID_PCT" hidden="1">"c2299"</definedName>
    <definedName name="IQ_TR_DEF_AGRMT_DATE" hidden="1">"c2285"</definedName>
    <definedName name="IQ_TR_DISCLOSED_FEES_EXP" hidden="1">"c2288"</definedName>
    <definedName name="IQ_TR_EARNOUTS" hidden="1">"c3023"</definedName>
    <definedName name="IQ_TR_EXPIRED_DATE" hidden="1">"c2412"</definedName>
    <definedName name="IQ_TR_GROSS_OFFERING_AMT" hidden="1">"c2262"</definedName>
    <definedName name="IQ_TR_HYBRID_CONSID_PCT" hidden="1">"c2300"</definedName>
    <definedName name="IQ_TR_IMPLIED_EQ" hidden="1">"c3018"</definedName>
    <definedName name="IQ_TR_IMPLIED_EQ_BV" hidden="1">"c3019"</definedName>
    <definedName name="IQ_TR_IMPLIED_EQ_NI_LTM" hidden="1">"c3020"</definedName>
    <definedName name="IQ_TR_IMPLIED_EV" hidden="1">"c2301"</definedName>
    <definedName name="IQ_TR_IMPLIED_EV_BV" hidden="1">"c2306"</definedName>
    <definedName name="IQ_TR_IMPLIED_EV_EBIT" hidden="1">"c2302"</definedName>
    <definedName name="IQ_TR_IMPLIED_EV_EBITDA" hidden="1">"c2303"</definedName>
    <definedName name="IQ_TR_IMPLIED_EV_NI_LTM" hidden="1">"c2307"</definedName>
    <definedName name="IQ_TR_IMPLIED_EV_REV" hidden="1">"c2304"</definedName>
    <definedName name="IQ_TR_INIT_FILED_DATE" hidden="1">"c3495"</definedName>
    <definedName name="IQ_TR_LOI_DATE" hidden="1">"c2282"</definedName>
    <definedName name="IQ_TR_MAJ_MIN_STAKE" hidden="1">"c2389"</definedName>
    <definedName name="IQ_TR_NEGOTIATED_BUYBACK_PRICE" hidden="1">"c2414"</definedName>
    <definedName name="IQ_TR_NET_ASSUM_LIABILITIES" hidden="1">"c2308"</definedName>
    <definedName name="IQ_TR_NET_PROCEEDS" hidden="1">"c2267"</definedName>
    <definedName name="IQ_TR_OFFER_DATE" hidden="1">"c2265"</definedName>
    <definedName name="IQ_TR_OFFER_DATE_MA" hidden="1">"c3035"</definedName>
    <definedName name="IQ_TR_OFFER_PER_SHARE" hidden="1">"c3017"</definedName>
    <definedName name="IQ_TR_OPTIONS_CONSID_PCT" hidden="1">"c2311"</definedName>
    <definedName name="IQ_TR_OTHER_CONSID" hidden="1">"c3022"</definedName>
    <definedName name="IQ_TR_PCT_SOUGHT" hidden="1">"c2309"</definedName>
    <definedName name="IQ_TR_PFEATURES" hidden="1">"c2384"</definedName>
    <definedName name="IQ_TR_PIPE_CONV_PRICE_SHARE" hidden="1">"c2292"</definedName>
    <definedName name="IQ_TR_PIPE_CPN_PCT" hidden="1">"c2291"</definedName>
    <definedName name="IQ_TR_PIPE_NUMBER_SHARES" hidden="1">"c2293"</definedName>
    <definedName name="IQ_TR_PIPE_PPS" hidden="1">"c2290"</definedName>
    <definedName name="IQ_TR_POSTMONEY_VAL" hidden="1">"c2286"</definedName>
    <definedName name="IQ_TR_PREDEAL_SITUATION" hidden="1">"c2390"</definedName>
    <definedName name="IQ_TR_PREF_CONSID_PCT" hidden="1">"c2310"</definedName>
    <definedName name="IQ_TR_PREMONEY_VAL" hidden="1">"c2287"</definedName>
    <definedName name="IQ_TR_PRINTING_FEES" hidden="1">"c2276"</definedName>
    <definedName name="IQ_TR_PT_MONETARY_VALUES" hidden="1">"c2415"</definedName>
    <definedName name="IQ_TR_PT_NUMBER_SHARES" hidden="1">"c2417"</definedName>
    <definedName name="IQ_TR_PT_PCT_SHARES" hidden="1">"c2416"</definedName>
    <definedName name="IQ_TR_RATING_FEES" hidden="1">"c2275"</definedName>
    <definedName name="IQ_TR_REG_EFFECT_DATE" hidden="1">"c2264"</definedName>
    <definedName name="IQ_TR_REG_FILED_DATE" hidden="1">"c2263"</definedName>
    <definedName name="IQ_TR_RENEWAL_BUYBACK" hidden="1">"c2413"</definedName>
    <definedName name="IQ_TR_ROUND_NUMBER" hidden="1">"c2295"</definedName>
    <definedName name="IQ_TR_SEC_FEES" hidden="1">"c2274"</definedName>
    <definedName name="IQ_TR_SECURITY_TYPE_REG" hidden="1">"c2279"</definedName>
    <definedName name="IQ_TR_SELL_ACC_ADVISORS" hidden="1">"c3049"</definedName>
    <definedName name="IQ_TR_SELL_FIN_ADVISORS" hidden="1">"c3046"</definedName>
    <definedName name="IQ_TR_SELL_LEG_ADVISORS" hidden="1">"c2388"</definedName>
    <definedName name="IQ_TR_SELLER_ID" hidden="1">"c2406"</definedName>
    <definedName name="IQ_TR_SELLERNAME" hidden="1">"c2402"</definedName>
    <definedName name="IQ_TR_SFEATURES" hidden="1">"c2385"</definedName>
    <definedName name="IQ_TR_SH_NET_PROCEEDS" hidden="1">"c2269"</definedName>
    <definedName name="IQ_TR_SH_NET_PROCEEDS_PCT" hidden="1">"c2271"</definedName>
    <definedName name="IQ_TR_SPECIAL_COMMITTEE" hidden="1">"c2362"</definedName>
    <definedName name="IQ_TR_STATUS" hidden="1">"c2399"</definedName>
    <definedName name="IQ_TR_STOCK_CONSID_PCT" hidden="1">"c2312"</definedName>
    <definedName name="IQ_TR_SUSPENDED_DATE" hidden="1">"c2407"</definedName>
    <definedName name="IQ_TR_TARGET_52WKHI_PCT" hidden="1">"c2351"</definedName>
    <definedName name="IQ_TR_TARGET_52WKLOW_PCT" hidden="1">"c2350"</definedName>
    <definedName name="IQ_TR_TARGET_ACC_ADVISORS" hidden="1">"c3047"</definedName>
    <definedName name="IQ_TR_TARGET_CASH_ST_INVEST" hidden="1">"c2327"</definedName>
    <definedName name="IQ_TR_TARGET_CLOSEPRICE_1D" hidden="1">"c2352"</definedName>
    <definedName name="IQ_TR_TARGET_CLOSEPRICE_1M" hidden="1">"c2354"</definedName>
    <definedName name="IQ_TR_TARGET_CLOSEPRICE_1W" hidden="1">"c2353"</definedName>
    <definedName name="IQ_TR_TARGET_DILUT_EPS_EXCL" hidden="1">"c2324"</definedName>
    <definedName name="IQ_TR_TARGET_EARNING_CO" hidden="1">"c2332"</definedName>
    <definedName name="IQ_TR_TARGET_EBIT" hidden="1">"c2333"</definedName>
    <definedName name="IQ_TR_TARGET_EBIT_EQ_INC" hidden="1">"c3609"</definedName>
    <definedName name="IQ_TR_TARGET_EBITDA" hidden="1">"c2334"</definedName>
    <definedName name="IQ_TR_TARGET_EBITDA_EQ_INC" hidden="1">"c3608"</definedName>
    <definedName name="IQ_TR_TARGET_FILING_CURRENCY" hidden="1">"c3034"</definedName>
    <definedName name="IQ_TR_TARGET_FILINGDATE" hidden="1">"c3605"</definedName>
    <definedName name="IQ_TR_TARGET_FIN_ADVISORS" hidden="1">"c3044"</definedName>
    <definedName name="IQ_TR_TARGET_ID" hidden="1">"c2405"</definedName>
    <definedName name="IQ_TR_TARGET_LEG_ADVISORS" hidden="1">"c2386"</definedName>
    <definedName name="IQ_TR_TARGET_MARKETCAP" hidden="1">"c2342"</definedName>
    <definedName name="IQ_TR_TARGET_MIN_INT" hidden="1">"c2328"</definedName>
    <definedName name="IQ_TR_TARGET_NET_DEBT" hidden="1">"c2326"</definedName>
    <definedName name="IQ_TR_TARGET_NI" hidden="1">"c2331"</definedName>
    <definedName name="IQ_TR_TARGET_PERIODDATE" hidden="1">"c3604"</definedName>
    <definedName name="IQ_TR_TARGET_PRICEDATE_1D" hidden="1">"c2341"</definedName>
    <definedName name="IQ_TR_TARGET_RETURN" hidden="1">"c2355"</definedName>
    <definedName name="IQ_TR_TARGET_SEC_DETAIL" hidden="1">"c3021"</definedName>
    <definedName name="IQ_TR_TARGET_SEC_TI_ID" hidden="1">"c2368"</definedName>
    <definedName name="IQ_TR_TARGET_SEC_TYPE" hidden="1">"c2369"</definedName>
    <definedName name="IQ_TR_TARGET_SPD" hidden="1">"c2313"</definedName>
    <definedName name="IQ_TR_TARGET_SPD_PCT" hidden="1">"c2314"</definedName>
    <definedName name="IQ_TR_TARGET_STOCKPREMIUM_1D" hidden="1">"c2336"</definedName>
    <definedName name="IQ_TR_TARGET_STOCKPREMIUM_1M" hidden="1">"c2337"</definedName>
    <definedName name="IQ_TR_TARGET_STOCKPREMIUM_1W" hidden="1">"c2338"</definedName>
    <definedName name="IQ_TR_TARGET_STOCKYEARHIGH_1D" hidden="1">"c2339"</definedName>
    <definedName name="IQ_TR_TARGET_STOCKYEARLOW_1D" hidden="1">"c2340"</definedName>
    <definedName name="IQ_TR_TARGET_TOTAL_ASSETS" hidden="1">"c2325"</definedName>
    <definedName name="IQ_TR_TARGET_TOTAL_COMMON_EQ" hidden="1">"c2421"</definedName>
    <definedName name="IQ_TR_TARGET_TOTAL_DEBT" hidden="1">"c2330"</definedName>
    <definedName name="IQ_TR_TARGET_TOTAL_PREF" hidden="1">"c2329"</definedName>
    <definedName name="IQ_TR_TARGET_TOTAL_REV" hidden="1">"c2335"</definedName>
    <definedName name="IQ_TR_TARGETNAME" hidden="1">"c2403"</definedName>
    <definedName name="IQ_TR_TERM_FEE" hidden="1">"c2298"</definedName>
    <definedName name="IQ_TR_TERM_FEE_PCT" hidden="1">"c2297"</definedName>
    <definedName name="IQ_TR_TODATE" hidden="1">"c3036"</definedName>
    <definedName name="IQ_TR_TODATE_MONETARY_VALUE" hidden="1">"c2418"</definedName>
    <definedName name="IQ_TR_TODATE_NUMBER_SHARES" hidden="1">"c2420"</definedName>
    <definedName name="IQ_TR_TODATE_PCT_SHARES" hidden="1">"c2419"</definedName>
    <definedName name="IQ_TR_TOTAL_ACCT_FEES" hidden="1">"c2273"</definedName>
    <definedName name="IQ_TR_TOTAL_CASH" hidden="1">"c2315"</definedName>
    <definedName name="IQ_TR_TOTAL_CONSID_SH" hidden="1">"c2316"</definedName>
    <definedName name="IQ_TR_TOTAL_DEBT" hidden="1">"c2317"</definedName>
    <definedName name="IQ_TR_TOTAL_GROSS_TV" hidden="1">"c2318"</definedName>
    <definedName name="IQ_TR_TOTAL_HYBRID" hidden="1">"c2319"</definedName>
    <definedName name="IQ_TR_TOTAL_LEGAL_FEES" hidden="1">"c2272"</definedName>
    <definedName name="IQ_TR_TOTAL_NET_TV" hidden="1">"c2320"</definedName>
    <definedName name="IQ_TR_TOTAL_NEWMONEY" hidden="1">"c2289"</definedName>
    <definedName name="IQ_TR_TOTAL_OPTIONS" hidden="1">"c2322"</definedName>
    <definedName name="IQ_TR_TOTAL_OPTIONS_BUYER" hidden="1">"c3026"</definedName>
    <definedName name="IQ_TR_TOTAL_PREFERRED" hidden="1">"c2321"</definedName>
    <definedName name="IQ_TR_TOTAL_REG_AMT" hidden="1">"c2261"</definedName>
    <definedName name="IQ_TR_TOTAL_STOCK" hidden="1">"c2323"</definedName>
    <definedName name="IQ_TR_TOTAL_TAKEDOWNS" hidden="1">"c2278"</definedName>
    <definedName name="IQ_TR_TOTAL_UW_COMP" hidden="1">"c2280"</definedName>
    <definedName name="IQ_TR_TOTALVALUE" hidden="1">"c2400"</definedName>
    <definedName name="IQ_TR_TRANSACTION_TYPE" hidden="1">"c2398"</definedName>
    <definedName name="IQ_TR_WITHDRAWN_DTE" hidden="1">"c2266"</definedName>
    <definedName name="IQ_TRADE_AR" hidden="1">"c1345"</definedName>
    <definedName name="IQ_TRADE_PRINCIPAL" hidden="1">"c1309"</definedName>
    <definedName name="IQ_TRADING_ASSETS" hidden="1">"c1310"</definedName>
    <definedName name="IQ_TRADING_CURRENCY" hidden="1">"c2212"</definedName>
    <definedName name="IQ_TREASURY" hidden="1">"c1311"</definedName>
    <definedName name="IQ_TREASURY_OTHER_EQUITY" hidden="1">"c1312"</definedName>
    <definedName name="IQ_TREASURY_OTHER_EQUITY_BNK" hidden="1">"c1313"</definedName>
    <definedName name="IQ_TREASURY_OTHER_EQUITY_BR" hidden="1">"c1314"</definedName>
    <definedName name="IQ_TREASURY_OTHER_EQUITY_FIN" hidden="1">"c1315"</definedName>
    <definedName name="IQ_TREASURY_OTHER_EQUITY_INS" hidden="1">"c1316"</definedName>
    <definedName name="IQ_TREASURY_OTHER_EQUITY_RE" hidden="1">"c6276"</definedName>
    <definedName name="IQ_TREASURY_OTHER_EQUITY_REIT" hidden="1">"c1317"</definedName>
    <definedName name="IQ_TREASURY_OTHER_EQUITY_UTI" hidden="1">"c1318"</definedName>
    <definedName name="IQ_TREASURY_STOCK" hidden="1">"c1438"</definedName>
    <definedName name="IQ_TRUST_INC" hidden="1">"c1319"</definedName>
    <definedName name="IQ_TRUST_PREF" hidden="1">"c1320"</definedName>
    <definedName name="IQ_TRUST_PREFERRED" hidden="1">"c3029"</definedName>
    <definedName name="IQ_TRUST_PREFERRED_PCT" hidden="1">"c3030"</definedName>
    <definedName name="IQ_UFCF_10YR_ANN_CAGR" hidden="1">"c6179"</definedName>
    <definedName name="IQ_UFCF_10YR_ANN_GROWTH" hidden="1">"c1948"</definedName>
    <definedName name="IQ_UFCF_1YR_ANN_GROWTH" hidden="1">"c1943"</definedName>
    <definedName name="IQ_UFCF_2YR_ANN_CAGR" hidden="1">"c6175"</definedName>
    <definedName name="IQ_UFCF_2YR_ANN_GROWTH" hidden="1">"c1944"</definedName>
    <definedName name="IQ_UFCF_3YR_ANN_CAGR" hidden="1">"c6176"</definedName>
    <definedName name="IQ_UFCF_3YR_ANN_GROWTH" hidden="1">"c1945"</definedName>
    <definedName name="IQ_UFCF_5YR_ANN_CAGR" hidden="1">"c6177"</definedName>
    <definedName name="IQ_UFCF_5YR_ANN_GROWTH" hidden="1">"c1946"</definedName>
    <definedName name="IQ_UFCF_7YR_ANN_CAGR" hidden="1">"c6178"</definedName>
    <definedName name="IQ_UFCF_7YR_ANN_GROWTH" hidden="1">"c1947"</definedName>
    <definedName name="IQ_UFCF_MARGIN" hidden="1">"c1962"</definedName>
    <definedName name="IQ_ULT_PARENT" hidden="1">"c3037"</definedName>
    <definedName name="IQ_ULT_PARENT_CIQID" hidden="1">"c3039"</definedName>
    <definedName name="IQ_ULT_PARENT_TICKER" hidden="1">"c3038"</definedName>
    <definedName name="IQ_UNAMORT_DISC" hidden="1">"c2513"</definedName>
    <definedName name="IQ_UNAMORT_DISC_PCT" hidden="1">"c2514"</definedName>
    <definedName name="IQ_UNAMORT_PREMIUM" hidden="1">"c2511"</definedName>
    <definedName name="IQ_UNAMORT_PREMIUM_PCT" hidden="1">"c2512"</definedName>
    <definedName name="IQ_UNDRAWN_CP" hidden="1">"c2518"</definedName>
    <definedName name="IQ_UNDRAWN_CREDIT" hidden="1">"c3032"</definedName>
    <definedName name="IQ_UNDRAWN_RC" hidden="1">"c2517"</definedName>
    <definedName name="IQ_UNDRAWN_TL" hidden="1">"c2519"</definedName>
    <definedName name="IQ_UNEARN_PREMIUM" hidden="1">"c1321"</definedName>
    <definedName name="IQ_UNEARN_REV_CURRENT" hidden="1">"c1322"</definedName>
    <definedName name="IQ_UNEARN_REV_CURRENT_BNK" hidden="1">"c1323"</definedName>
    <definedName name="IQ_UNEARN_REV_CURRENT_BR" hidden="1">"c1324"</definedName>
    <definedName name="IQ_UNEARN_REV_CURRENT_FIN" hidden="1">"c1325"</definedName>
    <definedName name="IQ_UNEARN_REV_CURRENT_INS" hidden="1">"c1326"</definedName>
    <definedName name="IQ_UNEARN_REV_CURRENT_RE" hidden="1">"c6277"</definedName>
    <definedName name="IQ_UNEARN_REV_CURRENT_REIT" hidden="1">"c1327"</definedName>
    <definedName name="IQ_UNEARN_REV_CURRENT_UTI" hidden="1">"c1328"</definedName>
    <definedName name="IQ_UNEARN_REV_LT" hidden="1">"c1329"</definedName>
    <definedName name="IQ_UNLEVERED_FCF" hidden="1">"c1908"</definedName>
    <definedName name="IQ_UNPAID_CLAIMS" hidden="1">"c1330"</definedName>
    <definedName name="IQ_UNREALIZED_GAIN" hidden="1">"c1619"</definedName>
    <definedName name="IQ_UNSECURED_DEBT" hidden="1">"c2548"</definedName>
    <definedName name="IQ_UNSECURED_DEBT_PCT" hidden="1">"c2549"</definedName>
    <definedName name="IQ_UNUSUAL_EXP" hidden="1">"c1456"</definedName>
    <definedName name="IQ_US_GAAP" hidden="1">"c1331"</definedName>
    <definedName name="IQ_US_GAAP_BASIC_EPS_EXCL" hidden="1">"c2984"</definedName>
    <definedName name="IQ_US_GAAP_BASIC_EPS_INCL" hidden="1">"c2982"</definedName>
    <definedName name="IQ_US_GAAP_BASIC_WEIGHT" hidden="1">"c2980"</definedName>
    <definedName name="IQ_US_GAAP_CA_ADJ" hidden="1">"c2925"</definedName>
    <definedName name="IQ_US_GAAP_CASH_FINAN" hidden="1">"c2945"</definedName>
    <definedName name="IQ_US_GAAP_CASH_FINAN_ADJ" hidden="1">"c2941"</definedName>
    <definedName name="IQ_US_GAAP_CASH_INVEST" hidden="1">"c2944"</definedName>
    <definedName name="IQ_US_GAAP_CASH_INVEST_ADJ" hidden="1">"c2940"</definedName>
    <definedName name="IQ_US_GAAP_CASH_OPER" hidden="1">"c2943"</definedName>
    <definedName name="IQ_US_GAAP_CASH_OPER_ADJ" hidden="1">"c2939"</definedName>
    <definedName name="IQ_US_GAAP_CL_ADJ" hidden="1">"c2927"</definedName>
    <definedName name="IQ_US_GAAP_COST_REV_ADJ" hidden="1">"c2951"</definedName>
    <definedName name="IQ_US_GAAP_DILUT_EPS_EXCL" hidden="1">"c2985"</definedName>
    <definedName name="IQ_US_GAAP_DILUT_EPS_INCL" hidden="1">"c2983"</definedName>
    <definedName name="IQ_US_GAAP_DILUT_NI" hidden="1">"c2979"</definedName>
    <definedName name="IQ_US_GAAP_DILUT_WEIGHT" hidden="1">"c2981"</definedName>
    <definedName name="IQ_US_GAAP_DO_ADJ" hidden="1">"c2959"</definedName>
    <definedName name="IQ_US_GAAP_EXTRA_ACC_ITEMS_ADJ" hidden="1">"c2958"</definedName>
    <definedName name="IQ_US_GAAP_INC_TAX_ADJ" hidden="1">"c2961"</definedName>
    <definedName name="IQ_US_GAAP_INTEREST_EXP_ADJ" hidden="1">"c2957"</definedName>
    <definedName name="IQ_US_GAAP_LIAB_LT_ADJ" hidden="1">"c2928"</definedName>
    <definedName name="IQ_US_GAAP_LIAB_TOTAL_LIAB" hidden="1">"c2933"</definedName>
    <definedName name="IQ_US_GAAP_MINORITY_INTEREST_IS_ADJ" hidden="1">"c2960"</definedName>
    <definedName name="IQ_US_GAAP_NCA_ADJ" hidden="1">"c2926"</definedName>
    <definedName name="IQ_US_GAAP_NET_CHANGE" hidden="1">"c2946"</definedName>
    <definedName name="IQ_US_GAAP_NET_CHANGE_ADJ" hidden="1">"c2942"</definedName>
    <definedName name="IQ_US_GAAP_NI" hidden="1">"c2976"</definedName>
    <definedName name="IQ_US_GAAP_NI_ADJ" hidden="1">"c2963"</definedName>
    <definedName name="IQ_US_GAAP_NI_AVAIL_INCL" hidden="1">"c2978"</definedName>
    <definedName name="IQ_US_GAAP_OTHER_ADJ_ADJ" hidden="1">"c2962"</definedName>
    <definedName name="IQ_US_GAAP_OTHER_NON_OPER_ADJ" hidden="1">"c2955"</definedName>
    <definedName name="IQ_US_GAAP_OTHER_OPER_ADJ" hidden="1">"c2954"</definedName>
    <definedName name="IQ_US_GAAP_RD_ADJ" hidden="1">"c2953"</definedName>
    <definedName name="IQ_US_GAAP_SGA_ADJ" hidden="1">"c2952"</definedName>
    <definedName name="IQ_US_GAAP_TOTAL_ASSETS" hidden="1">"c2931"</definedName>
    <definedName name="IQ_US_GAAP_TOTAL_EQUITY" hidden="1">"c2934"</definedName>
    <definedName name="IQ_US_GAAP_TOTAL_EQUITY_ADJ" hidden="1">"c2929"</definedName>
    <definedName name="IQ_US_GAAP_TOTAL_REV_ADJ" hidden="1">"c2950"</definedName>
    <definedName name="IQ_US_GAAP_TOTAL_UNUSUAL_ADJ" hidden="1">"c2956"</definedName>
    <definedName name="IQ_UTIL_PPE_NET" hidden="1">"c1620"</definedName>
    <definedName name="IQ_UTIL_REV" hidden="1">"c2091"</definedName>
    <definedName name="IQ_UV_PENSION_LIAB" hidden="1">"c1332"</definedName>
    <definedName name="IQ_VALUE_TRADED_LAST_3MTH" hidden="1">"c1530"</definedName>
    <definedName name="IQ_VALUE_TRADED_LAST_6MTH" hidden="1">"c1531"</definedName>
    <definedName name="IQ_VALUE_TRADED_LAST_MTH" hidden="1">"c1529"</definedName>
    <definedName name="IQ_VALUE_TRADED_LAST_WK" hidden="1">"c1528"</definedName>
    <definedName name="IQ_VALUE_TRADED_LAST_YR" hidden="1">"c1532"</definedName>
    <definedName name="IQ_VOL_LAST_3MTH" hidden="1">"c1525"</definedName>
    <definedName name="IQ_VOL_LAST_6MTH" hidden="1">"c1526"</definedName>
    <definedName name="IQ_VOL_LAST_MTH" hidden="1">"c1524"</definedName>
    <definedName name="IQ_VOL_LAST_WK" hidden="1">"c1523"</definedName>
    <definedName name="IQ_VOL_LAST_YR" hidden="1">"c1527"</definedName>
    <definedName name="IQ_VOLUME" hidden="1">"c1333"</definedName>
    <definedName name="IQ_WARRANTS_BEG_OS" hidden="1">"c2698"</definedName>
    <definedName name="IQ_WARRANTS_CANCELLED" hidden="1">"c2701"</definedName>
    <definedName name="IQ_WARRANTS_END_OS" hidden="1">"c2702"</definedName>
    <definedName name="IQ_WARRANTS_EXERCISED" hidden="1">"c2700"</definedName>
    <definedName name="IQ_WARRANTS_ISSUED" hidden="1">"c2699"</definedName>
    <definedName name="IQ_WARRANTS_STRIKE_PRICE_ISSUED" hidden="1">"c2704"</definedName>
    <definedName name="IQ_WARRANTS_STRIKE_PRICE_OS" hidden="1">"c2703"</definedName>
    <definedName name="IQ_WEEK">50000</definedName>
    <definedName name="IQ_WEIGHTED_AVG_PRICE" hidden="1">"c1334"</definedName>
    <definedName name="IQ_WIP_INV" hidden="1">"c1335"</definedName>
    <definedName name="IQ_WORKING_CAP" hidden="1">"c3494"</definedName>
    <definedName name="IQ_WORKMEN_WRITTEN" hidden="1">"c1336"</definedName>
    <definedName name="IQ_XDIV_DATE" hidden="1">"c2203"</definedName>
    <definedName name="IQ_YEARHIGH" hidden="1">"c1337"</definedName>
    <definedName name="IQ_YEARHIGH_DATE" hidden="1">"c2250"</definedName>
    <definedName name="IQ_YEARLOW" hidden="1">"c1338"</definedName>
    <definedName name="IQ_YEARLOW_DATE" hidden="1">"c2251"</definedName>
    <definedName name="IQ_YTD" hidden="1">3000</definedName>
    <definedName name="IQ_YTDMONTH" hidden="1">130000</definedName>
    <definedName name="IQ_YTW" hidden="1">"c2163"</definedName>
    <definedName name="IQ_YTW_DATE" hidden="1">"c2164"</definedName>
    <definedName name="IQ_YTW_DATE_TYPE" hidden="1">"c2165"</definedName>
    <definedName name="IQ_Z_SCORE" hidden="1">"c1339"</definedName>
    <definedName name="j" hidden="1">{TRUE,TRUE,-1.25,-15.5,772.5,492.75,FALSE,FALSE,TRUE,TRUE,0,1,4,1,57,3,5,4,TRUE,TRUE,3,TRUE,1,TRUE,100,"Swvu.Alles.","ACwvu.Alles.",#N/A,FALSE,FALSE,1.08,0.25,0.590551181102362,0.393700787401575,1,"","&amp;L&amp;6&amp;F / &amp;A / &amp;D",FALSE,FALSE,FALSE,FALSE,1,100,#N/A,#N/A,FALSE,FALSE,#N/A,#N/A,FALSE,FALSE,FALSE,9,65532,65532,FALSE,FALSE,TRUE,TRUE,TRUE}</definedName>
    <definedName name="j_1" hidden="1">{TRUE,TRUE,-1.25,-15.5,772.5,492.75,FALSE,FALSE,TRUE,TRUE,0,1,4,1,57,3,5,4,TRUE,TRUE,3,TRUE,1,TRUE,100,"Swvu.Alles.","ACwvu.Alles.",#N/A,FALSE,FALSE,1.08,0.25,0.590551181102362,0.393700787401575,1,"","&amp;L&amp;6&amp;F / &amp;A / &amp;D",FALSE,FALSE,FALSE,FALSE,1,100,#N/A,#N/A,FALSE,FALSE,#N/A,#N/A,FALSE,FALSE,FALSE,9,65532,65532,FALSE,FALSE,TRUE,TRUE,TRUE}</definedName>
    <definedName name="jdghgfh" hidden="1">{#N/A,#N/A,FALSE,"V3 Stab-Geb Index";#N/A,#N/A,FALSE,"Vertrieb";#N/A,#N/A,FALSE,"V Daten";#N/A,#N/A,FALSE,"V-Z-Index";#N/A,#N/A,FALSE,"V-1 Daten";#N/A,#N/A,FALSE,"V-1 Index";#N/A,#N/A,FALSE,"V-2 Index";#N/A,#N/A,FALSE,"V-3 Daten";#N/A,#N/A,FALSE,"V3 Stab-Geb Index";#N/A,#N/A,FALSE,"V-3 VG's Index";#N/A,#N/A,FALSE,"V-4 Index";#N/A,#N/A,FALSE,"V-5 Index"}</definedName>
    <definedName name="jdghgfh_1" hidden="1">{#N/A,#N/A,FALSE,"V3 Stab-Geb Index";#N/A,#N/A,FALSE,"Vertrieb";#N/A,#N/A,FALSE,"V Daten";#N/A,#N/A,FALSE,"V-Z-Index";#N/A,#N/A,FALSE,"V-1 Daten";#N/A,#N/A,FALSE,"V-1 Index";#N/A,#N/A,FALSE,"V-2 Index";#N/A,#N/A,FALSE,"V-3 Daten";#N/A,#N/A,FALSE,"V3 Stab-Geb Index";#N/A,#N/A,FALSE,"V-3 VG's Index";#N/A,#N/A,FALSE,"V-4 Index";#N/A,#N/A,FALSE,"V-5 Index"}</definedName>
    <definedName name="jdghgfh_1_1" hidden="1">{#N/A,#N/A,FALSE,"V3 Stab-Geb Index";#N/A,#N/A,FALSE,"Vertrieb";#N/A,#N/A,FALSE,"V Daten";#N/A,#N/A,FALSE,"V-Z-Index";#N/A,#N/A,FALSE,"V-1 Daten";#N/A,#N/A,FALSE,"V-1 Index";#N/A,#N/A,FALSE,"V-2 Index";#N/A,#N/A,FALSE,"V-3 Daten";#N/A,#N/A,FALSE,"V3 Stab-Geb Index";#N/A,#N/A,FALSE,"V-3 VG's Index";#N/A,#N/A,FALSE,"V-4 Index";#N/A,#N/A,FALSE,"V-5 Index"}</definedName>
    <definedName name="jdghgfh_2" hidden="1">{#N/A,#N/A,FALSE,"V3 Stab-Geb Index";#N/A,#N/A,FALSE,"Vertrieb";#N/A,#N/A,FALSE,"V Daten";#N/A,#N/A,FALSE,"V-Z-Index";#N/A,#N/A,FALSE,"V-1 Daten";#N/A,#N/A,FALSE,"V-1 Index";#N/A,#N/A,FALSE,"V-2 Index";#N/A,#N/A,FALSE,"V-3 Daten";#N/A,#N/A,FALSE,"V3 Stab-Geb Index";#N/A,#N/A,FALSE,"V-3 VG's Index";#N/A,#N/A,FALSE,"V-4 Index";#N/A,#N/A,FALSE,"V-5 Index"}</definedName>
    <definedName name="JHTK">#REF!</definedName>
    <definedName name="jj" hidden="1">{TRUE,TRUE,-1.25,-15.5,772.5,492.75,FALSE,TRUE,TRUE,TRUE,0,1,#N/A,1,#N/A,12.65,22.0869565217391,1,FALSE,FALSE,3,TRUE,1,FALSE,100,"Swvu.FC_10_Details.","ACwvu.FC_10_Details.",#N/A,FALSE,FALSE,0.78740157480315,0.78740157480315,0.590551181102362,0.393700787401575,1,"","&amp;L&amp;""Arial,Kursiv""&amp;6&amp;F / &amp;A / &amp;D",FALSE,FALSE,FALSE,FALSE,1,100,#N/A,#N/A,"=R1C1:R39C8",FALSE,#N/A,#N/A,FALSE,FALSE,FALSE,9,65532,65532,FALSE,FALSE,TRUE,TRUE,TRUE}</definedName>
    <definedName name="jj_1" hidden="1">{TRUE,TRUE,-1.25,-15.5,772.5,492.75,FALSE,TRUE,TRUE,TRUE,0,1,#N/A,1,#N/A,12.65,22.0869565217391,1,FALSE,FALSE,3,TRUE,1,FALSE,100,"Swvu.FC_10_Details.","ACwvu.FC_10_Details.",#N/A,FALSE,FALSE,0.78740157480315,0.78740157480315,0.590551181102362,0.393700787401575,1,"","&amp;L&amp;""Arial,Kursiv""&amp;6&amp;F / &amp;A / &amp;D",FALSE,FALSE,FALSE,FALSE,1,100,#N/A,#N/A,"=R1C1:R39C8",FALSE,#N/A,#N/A,FALSE,FALSE,FALSE,9,65532,65532,FALSE,FALSE,TRUE,TRUE,TRUE}</definedName>
    <definedName name="k">CHOOSE([0]!ll,#REF!,#REF!)</definedName>
    <definedName name="KilométrageDébut">#REF!</definedName>
    <definedName name="kk">CHOOSE(TableauGraphique,#REF!,#REF!)</definedName>
    <definedName name="klko" hidden="1">{TRUE,TRUE,-1.25,-15.5,772.5,492.75,FALSE,TRUE,TRUE,TRUE,0,1,#N/A,1,#N/A,12.7125,22.0869565217391,1,FALSE,FALSE,3,TRUE,1,FALSE,100,"Swvu.Ergebnisüberleitung.","ACwvu.Ergebnisüberleitung.",#N/A,FALSE,FALSE,0.78740157480315,0.78740157480315,0.590551181102362,0.393700787401575,1,"","&amp;L&amp;""Arial,Kursiv""&amp;6&amp;F / &amp;A / &amp;D",FALSE,FALSE,FALSE,FALSE,1,100,#N/A,#N/A,"=R1C1:R39C8",FALSE,"Rwvu.Ergebnisüberleitung.",#N/A,FALSE,FALSE,TRUE,9,65532,65532,FALSE,FALSE,TRUE,TRUE,TRUE}</definedName>
    <definedName name="klko_1" hidden="1">{TRUE,TRUE,-1.25,-15.5,772.5,492.75,FALSE,TRUE,TRUE,TRUE,0,1,#N/A,1,#N/A,12.7125,22.0869565217391,1,FALSE,FALSE,3,TRUE,1,FALSE,100,"Swvu.Ergebnisüberleitung.","ACwvu.Ergebnisüberleitung.",#N/A,FALSE,FALSE,0.78740157480315,0.78740157480315,0.590551181102362,0.393700787401575,1,"","&amp;L&amp;""Arial,Kursiv""&amp;6&amp;F / &amp;A / &amp;D",FALSE,FALSE,FALSE,FALSE,1,100,#N/A,#N/A,"=R1C1:R39C8",FALSE,"Rwvu.Ergebnisüberleitung.",#N/A,FALSE,FALSE,TRUE,9,65532,65532,FALSE,FALSE,TRUE,TRUE,TRUE}</definedName>
    <definedName name="l" hidden="1">{#N/A,#N/A,FALSE,"Z3 1,8i";#N/A,#N/A,FALSE,"Z3 1,9iS";#N/A,#N/A,FALSE,"Z3 2,8i";#N/A,#N/A,FALSE,"Z3 2,8i Coupé"}</definedName>
    <definedName name="l_1" hidden="1">{#N/A,#N/A,FALSE,"Z3 1,8i";#N/A,#N/A,FALSE,"Z3 1,9iS";#N/A,#N/A,FALSE,"Z3 2,8i";#N/A,#N/A,FALSE,"Z3 2,8i Coupé"}</definedName>
    <definedName name="lkj" hidden="1">{TRUE,TRUE,-1.25,-15.5,772.5,492.75,FALSE,FALSE,TRUE,TRUE,0,1,4,1,57,3,5,4,TRUE,TRUE,3,TRUE,1,TRUE,100,"Swvu.Budget_1997.","ACwvu.Budget_1997.",#N/A,FALSE,FALSE,1.08,0.25,0.590551181102362,0.393700787401575,1,"","&amp;L&amp;6&amp;F / &amp;A / &amp;D",FALSE,FALSE,FALSE,FALSE,1,100,#N/A,#N/A,FALSE,FALSE,"Rwvu.Budget_1997.",#N/A,FALSE,FALSE,FALSE,9,65532,65532,FALSE,FALSE,TRUE,TRUE,TRUE}</definedName>
    <definedName name="lkj_1" hidden="1">{TRUE,TRUE,-1.25,-15.5,772.5,492.75,FALSE,FALSE,TRUE,TRUE,0,1,4,1,57,3,5,4,TRUE,TRUE,3,TRUE,1,TRUE,100,"Swvu.Budget_1997.","ACwvu.Budget_1997.",#N/A,FALSE,FALSE,1.08,0.25,0.590551181102362,0.393700787401575,1,"","&amp;L&amp;6&amp;F / &amp;A / &amp;D",FALSE,FALSE,FALSE,FALSE,1,100,#N/A,#N/A,FALSE,FALSE,"Rwvu.Budget_1997.",#N/A,FALSE,FALSE,FALSE,9,65532,65532,FALSE,FALSE,TRUE,TRUE,TRUE}</definedName>
    <definedName name="lkj_1_1" hidden="1">{TRUE,TRUE,-1.25,-15.5,772.5,492.75,FALSE,FALSE,TRUE,TRUE,0,1,4,1,57,3,5,4,TRUE,TRUE,3,TRUE,1,TRUE,100,"Swvu.Budget_1997.","ACwvu.Budget_1997.",#N/A,FALSE,FALSE,1.08,0.25,0.590551181102362,0.393700787401575,1,"","&amp;L&amp;6&amp;F / &amp;A / &amp;D",FALSE,FALSE,FALSE,FALSE,1,100,#N/A,#N/A,FALSE,FALSE,"Rwvu.Budget_1997.",#N/A,FALSE,FALSE,FALSE,9,65532,65532,FALSE,FALSE,TRUE,TRUE,TRUE}</definedName>
    <definedName name="lkj_2" hidden="1">{TRUE,TRUE,-1.25,-15.5,772.5,492.75,FALSE,FALSE,TRUE,TRUE,0,1,4,1,57,3,5,4,TRUE,TRUE,3,TRUE,1,TRUE,100,"Swvu.Budget_1997.","ACwvu.Budget_1997.",#N/A,FALSE,FALSE,1.08,0.25,0.590551181102362,0.393700787401575,1,"","&amp;L&amp;6&amp;F / &amp;A / &amp;D",FALSE,FALSE,FALSE,FALSE,1,100,#N/A,#N/A,FALSE,FALSE,"Rwvu.Budget_1997.",#N/A,FALSE,FALSE,FALSE,9,65532,65532,FALSE,FALSE,TRUE,TRUE,TRUE}</definedName>
    <definedName name="ll" hidden="1">{#N/A,#N/A,FALSE,"Bl. 1";#N/A,#N/A,FALSE,"Bl. 2";#N/A,#N/A,FALSE,"Bl. 3";#N/A,#N/A,FALSE,"Bl. 4";#N/A,#N/A,FALSE,"Bl. 6";#N/A,#N/A,FALSE,"Bl. 7";#N/A,#N/A,FALSE,"BL. 8";#N/A,#N/A,FALSE,"Bl. 9";#N/A,#N/A,FALSE,"Bl. 10";#N/A,#N/A,FALSE,"Bl. 12"}</definedName>
    <definedName name="ll_1" hidden="1">{#N/A,#N/A,FALSE,"Bl. 1";#N/A,#N/A,FALSE,"Bl. 2";#N/A,#N/A,FALSE,"Bl. 3";#N/A,#N/A,FALSE,"Bl. 4";#N/A,#N/A,FALSE,"Bl. 6";#N/A,#N/A,FALSE,"Bl. 7";#N/A,#N/A,FALSE,"BL. 8";#N/A,#N/A,FALSE,"Bl. 9";#N/A,#N/A,FALSE,"Bl. 10";#N/A,#N/A,FALSE,"Bl. 12"}</definedName>
    <definedName name="lup" hidden="1">{TRUE,TRUE,-1.25,-15.5,772.5,492.75,FALSE,TRUE,TRUE,TRUE,0,1,#N/A,1,#N/A,12.7125,22.0869565217391,1,FALSE,FALSE,3,TRUE,1,FALSE,100,"Swvu.Ergebnisüberleitung.","ACwvu.Ergebnisüberleitung.",#N/A,FALSE,FALSE,0.78740157480315,0.78740157480315,0.590551181102362,0.393700787401575,1,"","&amp;L&amp;""Arial,Kursiv""&amp;6&amp;F / &amp;A / &amp;D",FALSE,FALSE,FALSE,FALSE,1,100,#N/A,#N/A,"=R1C1:R39C8",FALSE,"Rwvu.Ergebnisüberleitung.",#N/A,FALSE,FALSE,TRUE,9,65532,65532,FALSE,FALSE,TRUE,TRUE,TRUE}</definedName>
    <definedName name="lup_1" hidden="1">{TRUE,TRUE,-1.25,-15.5,772.5,492.75,FALSE,TRUE,TRUE,TRUE,0,1,#N/A,1,#N/A,12.7125,22.0869565217391,1,FALSE,FALSE,3,TRUE,1,FALSE,100,"Swvu.Ergebnisüberleitung.","ACwvu.Ergebnisüberleitung.",#N/A,FALSE,FALSE,0.78740157480315,0.78740157480315,0.590551181102362,0.393700787401575,1,"","&amp;L&amp;""Arial,Kursiv""&amp;6&amp;F / &amp;A / &amp;D",FALSE,FALSE,FALSE,FALSE,1,100,#N/A,#N/A,"=R1C1:R39C8",FALSE,"Rwvu.Ergebnisüberleitung.",#N/A,FALSE,FALSE,TRUE,9,65532,65532,FALSE,FALSE,TRUE,TRUE,TRUE}</definedName>
    <definedName name="lut" hidden="1">{TRUE,TRUE,-1.25,-15.5,772.5,492.75,FALSE,TRUE,TRUE,TRUE,0,1,#N/A,1,#N/A,12.7125,22.0869565217391,1,FALSE,FALSE,3,TRUE,1,FALSE,100,"Swvu.Ergebnisüberleitung.","ACwvu.Ergebnisüberleitung.",#N/A,FALSE,FALSE,0.78740157480315,0.78740157480315,0.590551181102362,0.393700787401575,1,"","&amp;L&amp;""Arial,Kursiv""&amp;6&amp;F / &amp;A / &amp;D",FALSE,FALSE,FALSE,FALSE,1,100,#N/A,#N/A,"=R1C1:R39C8",FALSE,"Rwvu.Ergebnisüberleitung.",#N/A,FALSE,FALSE,TRUE,9,65532,65532,FALSE,FALSE,TRUE,TRUE,TRUE}</definedName>
    <definedName name="lut_1" hidden="1">{TRUE,TRUE,-1.25,-15.5,772.5,492.75,FALSE,TRUE,TRUE,TRUE,0,1,#N/A,1,#N/A,12.7125,22.0869565217391,1,FALSE,FALSE,3,TRUE,1,FALSE,100,"Swvu.Ergebnisüberleitung.","ACwvu.Ergebnisüberleitung.",#N/A,FALSE,FALSE,0.78740157480315,0.78740157480315,0.590551181102362,0.393700787401575,1,"","&amp;L&amp;""Arial,Kursiv""&amp;6&amp;F / &amp;A / &amp;D",FALSE,FALSE,FALSE,FALSE,1,100,#N/A,#N/A,"=R1C1:R39C8",FALSE,"Rwvu.Ergebnisüberleitung.",#N/A,FALSE,FALSE,TRUE,9,65532,65532,FALSE,FALSE,TRUE,TRUE,TRUE}</definedName>
    <definedName name="lzu" hidden="1">{#N/A,#N/A,FALSE,"V3 Stab-Geb Index";#N/A,#N/A,FALSE,"Vertrieb";#N/A,#N/A,FALSE,"V Daten";#N/A,#N/A,FALSE,"V-Z-Index";#N/A,#N/A,FALSE,"V-1 Daten";#N/A,#N/A,FALSE,"V-1 Index";#N/A,#N/A,FALSE,"V-2 Index";#N/A,#N/A,FALSE,"V-3 Daten";#N/A,#N/A,FALSE,"V3 Stab-Geb Index";#N/A,#N/A,FALSE,"V-3 VG's Index";#N/A,#N/A,FALSE,"V-4 Index";#N/A,#N/A,FALSE,"V-5 Index"}</definedName>
    <definedName name="lzu_1" hidden="1">{#N/A,#N/A,FALSE,"V3 Stab-Geb Index";#N/A,#N/A,FALSE,"Vertrieb";#N/A,#N/A,FALSE,"V Daten";#N/A,#N/A,FALSE,"V-Z-Index";#N/A,#N/A,FALSE,"V-1 Daten";#N/A,#N/A,FALSE,"V-1 Index";#N/A,#N/A,FALSE,"V-2 Index";#N/A,#N/A,FALSE,"V-3 Daten";#N/A,#N/A,FALSE,"V3 Stab-Geb Index";#N/A,#N/A,FALSE,"V-3 VG's Index";#N/A,#N/A,FALSE,"V-4 Index";#N/A,#N/A,FALSE,"V-5 Index"}</definedName>
    <definedName name="m" hidden="1">{TRUE,TRUE,-1.25,-15.5,772.5,492.75,FALSE,FALSE,TRUE,TRUE,0,1,4,1,57,3,5,4,TRUE,TRUE,3,TRUE,1,TRUE,100,"Swvu.Alles.","ACwvu.Alles.",#N/A,FALSE,FALSE,1.08,0.25,0.590551181102362,0.393700787401575,1,"","&amp;L&amp;6&amp;F / &amp;A / &amp;D",FALSE,FALSE,FALSE,FALSE,1,100,#N/A,#N/A,FALSE,FALSE,#N/A,#N/A,FALSE,FALSE,FALSE,9,65532,65532,FALSE,FALSE,TRUE,TRUE,TRUE}</definedName>
    <definedName name="m_1" hidden="1">{TRUE,TRUE,-1.25,-15.5,772.5,492.75,FALSE,FALSE,TRUE,TRUE,0,1,4,1,57,3,5,4,TRUE,TRUE,3,TRUE,1,TRUE,100,"Swvu.Alles.","ACwvu.Alles.",#N/A,FALSE,FALSE,1.08,0.25,0.590551181102362,0.393700787401575,1,"","&amp;L&amp;6&amp;F / &amp;A / &amp;D",FALSE,FALSE,FALSE,FALSE,1,100,#N/A,#N/A,FALSE,FALSE,#N/A,#N/A,FALSE,FALSE,FALSE,9,65532,65532,FALSE,FALSE,TRUE,TRUE,TRUE}</definedName>
    <definedName name="Markenorientierung" hidden="1">{TRUE,TRUE,-1.25,-15.5,772.5,492.75,FALSE,FALSE,TRUE,TRUE,0,1,4,1,57,3,5,4,TRUE,TRUE,3,TRUE,1,TRUE,100,"Swvu.Alles.","ACwvu.Alles.",#N/A,FALSE,FALSE,1.08,0.25,0.590551181102362,0.393700787401575,1,"","&amp;L&amp;6&amp;F / &amp;A / &amp;D",FALSE,FALSE,FALSE,FALSE,1,100,#N/A,#N/A,FALSE,FALSE,#N/A,#N/A,FALSE,FALSE,FALSE,9,65532,65532,FALSE,FALSE,TRUE,TRUE,TRUE}</definedName>
    <definedName name="Markenorientierung_1" hidden="1">{TRUE,TRUE,-1.25,-15.5,772.5,492.75,FALSE,FALSE,TRUE,TRUE,0,1,4,1,57,3,5,4,TRUE,TRUE,3,TRUE,1,TRUE,100,"Swvu.Alles.","ACwvu.Alles.",#N/A,FALSE,FALSE,1.08,0.25,0.590551181102362,0.393700787401575,1,"","&amp;L&amp;6&amp;F / &amp;A / &amp;D",FALSE,FALSE,FALSE,FALSE,1,100,#N/A,#N/A,FALSE,FALSE,#N/A,#N/A,FALSE,FALSE,FALSE,9,65532,65532,FALSE,FALSE,TRUE,TRUE,TRUE}</definedName>
    <definedName name="mnbzu" hidden="1">{TRUE,TRUE,-1.25,-15.5,772.5,492.75,FALSE,TRUE,TRUE,TRUE,0,1,#N/A,1,#N/A,12.65,22.0869565217391,1,FALSE,FALSE,3,TRUE,1,FALSE,100,"Swvu.FC_10_Details.","ACwvu.FC_10_Details.",#N/A,FALSE,FALSE,0.78740157480315,0.78740157480315,0.590551181102362,0.393700787401575,1,"","&amp;L&amp;""Arial,Kursiv""&amp;6&amp;F / &amp;A / &amp;D",FALSE,FALSE,FALSE,FALSE,1,100,#N/A,#N/A,"=R1C1:R39C8",FALSE,#N/A,#N/A,FALSE,FALSE,FALSE,9,65532,65532,FALSE,FALSE,TRUE,TRUE,TRUE}</definedName>
    <definedName name="mnbzu_1" hidden="1">{TRUE,TRUE,-1.25,-15.5,772.5,492.75,FALSE,TRUE,TRUE,TRUE,0,1,#N/A,1,#N/A,12.65,22.0869565217391,1,FALSE,FALSE,3,TRUE,1,FALSE,100,"Swvu.FC_10_Details.","ACwvu.FC_10_Details.",#N/A,FALSE,FALSE,0.78740157480315,0.78740157480315,0.590551181102362,0.393700787401575,1,"","&amp;L&amp;""Arial,Kursiv""&amp;6&amp;F / &amp;A / &amp;D",FALSE,FALSE,FALSE,FALSE,1,100,#N/A,#N/A,"=R1C1:R39C8",FALSE,#N/A,#N/A,FALSE,FALSE,FALSE,9,65532,65532,FALSE,FALSE,TRUE,TRUE,TRUE}</definedName>
    <definedName name="mr" hidden="1">{TRUE,TRUE,-1.25,-15.5,772.5,492.75,FALSE,FALSE,TRUE,TRUE,0,1,4,1,57,3,5,4,TRUE,TRUE,3,TRUE,1,TRUE,100,"Swvu.Budget_1996.","ACwvu.Budget_1996.",#N/A,FALSE,FALSE,1.08,0.25,0.590551181102362,0.393700787401575,1,"","&amp;L&amp;6&amp;F / &amp;A / &amp;D",FALSE,FALSE,FALSE,FALSE,1,100,#N/A,#N/A,FALSE,FALSE,"Rwvu.Budget_1996.",#N/A,FALSE,FALSE,FALSE,9,65532,65532,FALSE,FALSE,TRUE,TRUE,TRUE}</definedName>
    <definedName name="mr_1" hidden="1">{TRUE,TRUE,-1.25,-15.5,772.5,492.75,FALSE,FALSE,TRUE,TRUE,0,1,4,1,57,3,5,4,TRUE,TRUE,3,TRUE,1,TRUE,100,"Swvu.Budget_1996.","ACwvu.Budget_1996.",#N/A,FALSE,FALSE,1.08,0.25,0.590551181102362,0.393700787401575,1,"","&amp;L&amp;6&amp;F / &amp;A / &amp;D",FALSE,FALSE,FALSE,FALSE,1,100,#N/A,#N/A,FALSE,FALSE,"Rwvu.Budget_1996.",#N/A,FALSE,FALSE,FALSE,9,65532,65532,FALSE,FALSE,TRUE,TRUE,TRUE}</definedName>
    <definedName name="neuername" hidden="1">{#N/A,#N/A,FALSE,"Bl. 1";#N/A,#N/A,FALSE,"Bl. 2";#N/A,#N/A,FALSE,"Bl. 3";#N/A,#N/A,FALSE,"Bl. 4";#N/A,#N/A,FALSE,"Bl. 6";#N/A,#N/A,FALSE,"Bl. 7";#N/A,#N/A,FALSE,"BL. 8";#N/A,#N/A,FALSE,"Bl. 9";#N/A,#N/A,FALSE,"Bl. 10";#N/A,#N/A,FALSE,"Bl. 12"}</definedName>
    <definedName name="neuername_1" hidden="1">{#N/A,#N/A,FALSE,"Bl. 1";#N/A,#N/A,FALSE,"Bl. 2";#N/A,#N/A,FALSE,"Bl. 3";#N/A,#N/A,FALSE,"Bl. 4";#N/A,#N/A,FALSE,"Bl. 6";#N/A,#N/A,FALSE,"Bl. 7";#N/A,#N/A,FALSE,"BL. 8";#N/A,#N/A,FALSE,"Bl. 9";#N/A,#N/A,FALSE,"Bl. 10";#N/A,#N/A,FALSE,"Bl. 12"}</definedName>
    <definedName name="neuername2" hidden="1">{#N/A,#N/A,FALSE,"Z3 1,8i";#N/A,#N/A,FALSE,"Z3 1,9iS";#N/A,#N/A,FALSE,"Z3 2,8i";#N/A,#N/A,FALSE,"Z3 2,8i Coupé"}</definedName>
    <definedName name="neuername2_1" hidden="1">{#N/A,#N/A,FALSE,"Z3 1,8i";#N/A,#N/A,FALSE,"Z3 1,9iS";#N/A,#N/A,FALSE,"Z3 2,8i";#N/A,#N/A,FALSE,"Z3 2,8i Coupé"}</definedName>
    <definedName name="Nicole" hidden="1">{TRUE,TRUE,-1.25,-15.5,772.5,492.75,FALSE,FALSE,TRUE,TRUE,0,1,4,1,57,3,5,4,TRUE,TRUE,3,TRUE,1,TRUE,100,"Swvu.Budget_1996.","ACwvu.Budget_1996.",#N/A,FALSE,FALSE,1.08,0.25,0.590551181102362,0.393700787401575,1,"","&amp;L&amp;6&amp;F / &amp;A / &amp;D",FALSE,FALSE,FALSE,FALSE,1,100,#N/A,#N/A,FALSE,FALSE,"Rwvu.Budget_1996.",#N/A,FALSE,FALSE,FALSE,9,65532,65532,FALSE,FALSE,TRUE,TRUE,TRUE}</definedName>
    <definedName name="Nicole_1" hidden="1">{TRUE,TRUE,-1.25,-15.5,772.5,492.75,FALSE,FALSE,TRUE,TRUE,0,1,4,1,57,3,5,4,TRUE,TRUE,3,TRUE,1,TRUE,100,"Swvu.Budget_1996.","ACwvu.Budget_1996.",#N/A,FALSE,FALSE,1.08,0.25,0.590551181102362,0.393700787401575,1,"","&amp;L&amp;6&amp;F / &amp;A / &amp;D",FALSE,FALSE,FALSE,FALSE,1,100,#N/A,#N/A,FALSE,FALSE,"Rwvu.Budget_1996.",#N/A,FALSE,FALSE,FALSE,9,65532,65532,FALSE,FALSE,TRUE,TRUE,TRUE}</definedName>
    <definedName name="Nicole_1_1" hidden="1">{TRUE,TRUE,-1.25,-15.5,772.5,492.75,FALSE,FALSE,TRUE,TRUE,0,1,4,1,57,3,5,4,TRUE,TRUE,3,TRUE,1,TRUE,100,"Swvu.Budget_1996.","ACwvu.Budget_1996.",#N/A,FALSE,FALSE,1.08,0.25,0.590551181102362,0.393700787401575,1,"","&amp;L&amp;6&amp;F / &amp;A / &amp;D",FALSE,FALSE,FALSE,FALSE,1,100,#N/A,#N/A,FALSE,FALSE,"Rwvu.Budget_1996.",#N/A,FALSE,FALSE,FALSE,9,65532,65532,FALSE,FALSE,TRUE,TRUE,TRUE}</definedName>
    <definedName name="Nicole_2" hidden="1">{TRUE,TRUE,-1.25,-15.5,772.5,492.75,FALSE,FALSE,TRUE,TRUE,0,1,4,1,57,3,5,4,TRUE,TRUE,3,TRUE,1,TRUE,100,"Swvu.Budget_1996.","ACwvu.Budget_1996.",#N/A,FALSE,FALSE,1.08,0.25,0.590551181102362,0.393700787401575,1,"","&amp;L&amp;6&amp;F / &amp;A / &amp;D",FALSE,FALSE,FALSE,FALSE,1,100,#N/A,#N/A,FALSE,FALSE,"Rwvu.Budget_1996.",#N/A,FALSE,FALSE,FALSE,9,65532,65532,FALSE,FALSE,TRUE,TRUE,TRUE}</definedName>
    <definedName name="nom">#REF!</definedName>
    <definedName name="NP">#REF!</definedName>
    <definedName name="NP_Description">#REF!</definedName>
    <definedName name="ö" hidden="1">{TRUE,TRUE,-1.25,-15.5,772.5,492.75,FALSE,FALSE,TRUE,TRUE,0,1,4,1,57,3,5,4,TRUE,TRUE,3,TRUE,1,TRUE,100,"Swvu.Budget_1996.","ACwvu.Budget_1996.",#N/A,FALSE,FALSE,1.08,0.25,0.590551181102362,0.393700787401575,1,"","&amp;L&amp;6&amp;F / &amp;A / &amp;D",FALSE,FALSE,FALSE,FALSE,1,100,#N/A,#N/A,FALSE,FALSE,"Rwvu.Budget_1996.",#N/A,FALSE,FALSE,FALSE,9,65532,65532,FALSE,FALSE,TRUE,TRUE,TRUE}</definedName>
    <definedName name="ö_1" hidden="1">{TRUE,TRUE,-1.25,-15.5,772.5,492.75,FALSE,FALSE,TRUE,TRUE,0,1,4,1,57,3,5,4,TRUE,TRUE,3,TRUE,1,TRUE,100,"Swvu.Budget_1996.","ACwvu.Budget_1996.",#N/A,FALSE,FALSE,1.08,0.25,0.590551181102362,0.393700787401575,1,"","&amp;L&amp;6&amp;F / &amp;A / &amp;D",FALSE,FALSE,FALSE,FALSE,1,100,#N/A,#N/A,FALSE,FALSE,"Rwvu.Budget_1996.",#N/A,FALSE,FALSE,FALSE,9,65532,65532,FALSE,FALSE,TRUE,TRUE,TRUE}</definedName>
    <definedName name="öü" hidden="1">{TRUE,TRUE,-1.25,-15.5,772.5,492.75,FALSE,FALSE,TRUE,TRUE,0,1,4,1,57,3,5,4,TRUE,TRUE,3,TRUE,1,TRUE,100,"Swvu.Budget_1997.","ACwvu.Budget_1997.",#N/A,FALSE,FALSE,1.08,0.25,0.590551181102362,0.393700787401575,1,"","&amp;L&amp;6&amp;F / &amp;A / &amp;D",FALSE,FALSE,FALSE,FALSE,1,100,#N/A,#N/A,FALSE,FALSE,"Rwvu.Budget_1997.",#N/A,FALSE,FALSE,FALSE,9,65532,65532,FALSE,FALSE,TRUE,TRUE,TRUE}</definedName>
    <definedName name="öü_1" hidden="1">{TRUE,TRUE,-1.25,-15.5,772.5,492.75,FALSE,FALSE,TRUE,TRUE,0,1,4,1,57,3,5,4,TRUE,TRUE,3,TRUE,1,TRUE,100,"Swvu.Budget_1997.","ACwvu.Budget_1997.",#N/A,FALSE,FALSE,1.08,0.25,0.590551181102362,0.393700787401575,1,"","&amp;L&amp;6&amp;F / &amp;A / &amp;D",FALSE,FALSE,FALSE,FALSE,1,100,#N/A,#N/A,FALSE,FALSE,"Rwvu.Budget_1997.",#N/A,FALSE,FALSE,FALSE,9,65532,65532,FALSE,FALSE,TRUE,TRUE,TRUE}</definedName>
    <definedName name="p" hidden="1">{TRUE,TRUE,-1.25,-15.5,772.5,492.75,FALSE,TRUE,TRUE,TRUE,0,1,#N/A,1,#N/A,12.7125,22.0869565217391,1,FALSE,FALSE,3,TRUE,1,FALSE,100,"Swvu.Ergebnisüberleitung.","ACwvu.Ergebnisüberleitung.",#N/A,FALSE,FALSE,0.78740157480315,0.78740157480315,0.590551181102362,0.393700787401575,1,"","&amp;L&amp;""Arial,Kursiv""&amp;6&amp;F / &amp;A / &amp;D",FALSE,FALSE,FALSE,FALSE,1,100,#N/A,#N/A,"=R1C1:R39C8",FALSE,"Rwvu.Ergebnisüberleitung.",#N/A,FALSE,FALSE,TRUE,9,65532,65532,FALSE,FALSE,TRUE,TRUE,TRUE}</definedName>
    <definedName name="p_1" hidden="1">{TRUE,TRUE,-1.25,-15.5,772.5,492.75,FALSE,TRUE,TRUE,TRUE,0,1,#N/A,1,#N/A,12.7125,22.0869565217391,1,FALSE,FALSE,3,TRUE,1,FALSE,100,"Swvu.Ergebnisüberleitung.","ACwvu.Ergebnisüberleitung.",#N/A,FALSE,FALSE,0.78740157480315,0.78740157480315,0.590551181102362,0.393700787401575,1,"","&amp;L&amp;""Arial,Kursiv""&amp;6&amp;F / &amp;A / &amp;D",FALSE,FALSE,FALSE,FALSE,1,100,#N/A,#N/A,"=R1C1:R39C8",FALSE,"Rwvu.Ergebnisüberleitung.",#N/A,FALSE,FALSE,TRUE,9,65532,65532,FALSE,FALSE,TRUE,TRUE,TRUE}</definedName>
    <definedName name="Package" hidden="1">Main.SAPF4Help()</definedName>
    <definedName name="poupou">#REF!</definedName>
    <definedName name="pp" hidden="1">{TRUE,TRUE,-1.25,-15.5,772.5,492.75,FALSE,TRUE,TRUE,TRUE,0,1,#N/A,1,#N/A,12.7125,22.0869565217391,1,FALSE,FALSE,3,TRUE,1,FALSE,100,"Swvu.Ergebnisüberleitung.","ACwvu.Ergebnisüberleitung.",#N/A,FALSE,FALSE,0.78740157480315,0.78740157480315,0.590551181102362,0.393700787401575,1,"","&amp;L&amp;""Arial,Kursiv""&amp;6&amp;F / &amp;A / &amp;D",FALSE,FALSE,FALSE,FALSE,1,100,#N/A,#N/A,"=R1C1:R39C8",FALSE,"Rwvu.Ergebnisüberleitung.",#N/A,FALSE,FALSE,TRUE,9,65532,65532,FALSE,FALSE,TRUE,TRUE,TRUE}</definedName>
    <definedName name="pp_1" hidden="1">{TRUE,TRUE,-1.25,-15.5,772.5,492.75,FALSE,TRUE,TRUE,TRUE,0,1,#N/A,1,#N/A,12.7125,22.0869565217391,1,FALSE,FALSE,3,TRUE,1,FALSE,100,"Swvu.Ergebnisüberleitung.","ACwvu.Ergebnisüberleitung.",#N/A,FALSE,FALSE,0.78740157480315,0.78740157480315,0.590551181102362,0.393700787401575,1,"","&amp;L&amp;""Arial,Kursiv""&amp;6&amp;F / &amp;A / &amp;D",FALSE,FALSE,FALSE,FALSE,1,100,#N/A,#N/A,"=R1C1:R39C8",FALSE,"Rwvu.Ergebnisüberleitung.",#N/A,FALSE,FALSE,TRUE,9,65532,65532,FALSE,FALSE,TRUE,TRUE,TRUE}</definedName>
    <definedName name="pp_1_1" hidden="1">{TRUE,TRUE,-1.25,-15.5,772.5,492.75,FALSE,TRUE,TRUE,TRUE,0,1,#N/A,1,#N/A,12.7125,22.0869565217391,1,FALSE,FALSE,3,TRUE,1,FALSE,100,"Swvu.Ergebnisüberleitung.","ACwvu.Ergebnisüberleitung.",#N/A,FALSE,FALSE,0.78740157480315,0.78740157480315,0.590551181102362,0.393700787401575,1,"","&amp;L&amp;""Arial,Kursiv""&amp;6&amp;F / &amp;A / &amp;D",FALSE,FALSE,FALSE,FALSE,1,100,#N/A,#N/A,"=R1C1:R39C8",FALSE,"Rwvu.Ergebnisüberleitung.",#N/A,FALSE,FALSE,TRUE,9,65532,65532,FALSE,FALSE,TRUE,TRUE,TRUE}</definedName>
    <definedName name="pp_2" hidden="1">{TRUE,TRUE,-1.25,-15.5,772.5,492.75,FALSE,TRUE,TRUE,TRUE,0,1,#N/A,1,#N/A,12.7125,22.0869565217391,1,FALSE,FALSE,3,TRUE,1,FALSE,100,"Swvu.Ergebnisüberleitung.","ACwvu.Ergebnisüberleitung.",#N/A,FALSE,FALSE,0.78740157480315,0.78740157480315,0.590551181102362,0.393700787401575,1,"","&amp;L&amp;""Arial,Kursiv""&amp;6&amp;F / &amp;A / &amp;D",FALSE,FALSE,FALSE,FALSE,1,100,#N/A,#N/A,"=R1C1:R39C8",FALSE,"Rwvu.Ergebnisüberleitung.",#N/A,FALSE,FALSE,TRUE,9,65532,65532,FALSE,FALSE,TRUE,TRUE,TRUE}</definedName>
    <definedName name="_xlnm.Print_Area" hidden="1">#REF!</definedName>
    <definedName name="_xlnm.Print_Titles" hidden="1">#REF!</definedName>
    <definedName name="PT_commencerlarangée">ROW(INDEX(#REF!,MATCH("*",#REF!,0),1))+1</definedName>
    <definedName name="PT_rangéedextrémité">COUNTA(#REF!)+PT_commencerlarangée-3</definedName>
    <definedName name="rdzkkkkkrk" hidden="1">{TRUE,TRUE,-1.25,-15.5,772.5,492.75,FALSE,FALSE,TRUE,TRUE,0,1,4,1,57,3,5,4,TRUE,TRUE,3,TRUE,1,TRUE,100,"Swvu.Budget_1997.","ACwvu.Budget_1997.",#N/A,FALSE,FALSE,1.08,0.25,0.590551181102362,0.393700787401575,1,"","&amp;L&amp;6&amp;F / &amp;A / &amp;D",FALSE,FALSE,FALSE,FALSE,1,100,#N/A,#N/A,FALSE,FALSE,"Rwvu.Budget_1997.",#N/A,FALSE,FALSE,FALSE,9,65532,65532,FALSE,FALSE,TRUE,TRUE,TRUE}</definedName>
    <definedName name="rdzkkkkkrk_1" hidden="1">{TRUE,TRUE,-1.25,-15.5,772.5,492.75,FALSE,FALSE,TRUE,TRUE,0,1,4,1,57,3,5,4,TRUE,TRUE,3,TRUE,1,TRUE,100,"Swvu.Budget_1997.","ACwvu.Budget_1997.",#N/A,FALSE,FALSE,1.08,0.25,0.590551181102362,0.393700787401575,1,"","&amp;L&amp;6&amp;F / &amp;A / &amp;D",FALSE,FALSE,FALSE,FALSE,1,100,#N/A,#N/A,FALSE,FALSE,"Rwvu.Budget_1997.",#N/A,FALSE,FALSE,FALSE,9,65532,65532,FALSE,FALSE,TRUE,TRUE,TRUE}</definedName>
    <definedName name="rien">#REF!</definedName>
    <definedName name="rjrjk" hidden="1">{TRUE,TRUE,-1.25,-15.5,772.5,492.75,FALSE,TRUE,TRUE,TRUE,0,1,#N/A,1,#N/A,12.7125,22.0869565217391,1,FALSE,FALSE,3,TRUE,1,FALSE,100,"Swvu.Ergebnisüberleitung.","ACwvu.Ergebnisüberleitung.",#N/A,FALSE,FALSE,0.78740157480315,0.78740157480315,0.590551181102362,0.393700787401575,1,"","&amp;L&amp;""Arial,Kursiv""&amp;6&amp;F / &amp;A / &amp;D",FALSE,FALSE,FALSE,FALSE,1,100,#N/A,#N/A,"=R1C1:R39C8",FALSE,"Rwvu.Ergebnisüberleitung.",#N/A,FALSE,FALSE,TRUE,9,65532,65532,FALSE,FALSE,TRUE,TRUE,TRUE}</definedName>
    <definedName name="rjrjk_1" hidden="1">{TRUE,TRUE,-1.25,-15.5,772.5,492.75,FALSE,TRUE,TRUE,TRUE,0,1,#N/A,1,#N/A,12.7125,22.0869565217391,1,FALSE,FALSE,3,TRUE,1,FALSE,100,"Swvu.Ergebnisüberleitung.","ACwvu.Ergebnisüberleitung.",#N/A,FALSE,FALSE,0.78740157480315,0.78740157480315,0.590551181102362,0.393700787401575,1,"","&amp;L&amp;""Arial,Kursiv""&amp;6&amp;F / &amp;A / &amp;D",FALSE,FALSE,FALSE,FALSE,1,100,#N/A,#N/A,"=R1C1:R39C8",FALSE,"Rwvu.Ergebnisüberleitung.",#N/A,FALSE,FALSE,TRUE,9,65532,65532,FALSE,FALSE,TRUE,TRUE,TRUE}</definedName>
    <definedName name="rjz" hidden="1">{#N/A,#N/A,FALSE,"bel";#N/A,#N/A,FALSE,"neth"}</definedName>
    <definedName name="rjz_1" hidden="1">{#N/A,#N/A,FALSE,"bel";#N/A,#N/A,FALSE,"neth"}</definedName>
    <definedName name="rtjjs" hidden="1">{#N/A,#N/A,FALSE,"V3 Stab-Geb Index";#N/A,#N/A,FALSE,"Vertrieb";#N/A,#N/A,FALSE,"V Daten";#N/A,#N/A,FALSE,"V-Z-Index";#N/A,#N/A,FALSE,"V-1 Daten";#N/A,#N/A,FALSE,"V-1 Index";#N/A,#N/A,FALSE,"V-2 Index";#N/A,#N/A,FALSE,"V-3 Daten";#N/A,#N/A,FALSE,"V3 Stab-Geb Index";#N/A,#N/A,FALSE,"V-3 VG's Index";#N/A,#N/A,FALSE,"V-4 Index";#N/A,#N/A,FALSE,"V-5 Index"}</definedName>
    <definedName name="rtjjs_1" hidden="1">{#N/A,#N/A,FALSE,"V3 Stab-Geb Index";#N/A,#N/A,FALSE,"Vertrieb";#N/A,#N/A,FALSE,"V Daten";#N/A,#N/A,FALSE,"V-Z-Index";#N/A,#N/A,FALSE,"V-1 Daten";#N/A,#N/A,FALSE,"V-1 Index";#N/A,#N/A,FALSE,"V-2 Index";#N/A,#N/A,FALSE,"V-3 Daten";#N/A,#N/A,FALSE,"V3 Stab-Geb Index";#N/A,#N/A,FALSE,"V-3 VG's Index";#N/A,#N/A,FALSE,"V-4 Index";#N/A,#N/A,FALSE,"V-5 Index"}</definedName>
    <definedName name="rzkjr" hidden="1">{TRUE,TRUE,-1.25,-15.5,772.5,492.75,FALSE,TRUE,TRUE,TRUE,0,1,#N/A,1,#N/A,12.65,22.0869565217391,1,FALSE,FALSE,3,TRUE,1,FALSE,100,"Swvu.FC_10_Details.","ACwvu.FC_10_Details.",#N/A,FALSE,FALSE,0.78740157480315,0.78740157480315,0.590551181102362,0.393700787401575,1,"","&amp;L&amp;""Arial,Kursiv""&amp;6&amp;F / &amp;A / &amp;D",FALSE,FALSE,FALSE,FALSE,1,100,#N/A,#N/A,"=R1C1:R39C8",FALSE,#N/A,#N/A,FALSE,FALSE,FALSE,9,65532,65532,FALSE,FALSE,TRUE,TRUE,TRUE}</definedName>
    <definedName name="rzkjr_1" hidden="1">{TRUE,TRUE,-1.25,-15.5,772.5,492.75,FALSE,TRUE,TRUE,TRUE,0,1,#N/A,1,#N/A,12.65,22.0869565217391,1,FALSE,FALSE,3,TRUE,1,FALSE,100,"Swvu.FC_10_Details.","ACwvu.FC_10_Details.",#N/A,FALSE,FALSE,0.78740157480315,0.78740157480315,0.590551181102362,0.393700787401575,1,"","&amp;L&amp;""Arial,Kursiv""&amp;6&amp;F / &amp;A / &amp;D",FALSE,FALSE,FALSE,FALSE,1,100,#N/A,#N/A,"=R1C1:R39C8",FALSE,#N/A,#N/A,FALSE,FALSE,FALSE,9,65532,65532,FALSE,FALSE,TRUE,TRUE,TRUE}</definedName>
    <definedName name="rzkkkkkkk" hidden="1">{TRUE,TRUE,-1.25,-15.5,772.5,492.75,FALSE,FALSE,TRUE,TRUE,0,1,4,1,57,3,5,4,TRUE,TRUE,3,TRUE,1,TRUE,100,"Swvu.Budget_1996.","ACwvu.Budget_1996.",#N/A,FALSE,FALSE,1.08,0.25,0.590551181102362,0.393700787401575,1,"","&amp;L&amp;6&amp;F / &amp;A / &amp;D",FALSE,FALSE,FALSE,FALSE,1,100,#N/A,#N/A,FALSE,FALSE,"Rwvu.Budget_1996.",#N/A,FALSE,FALSE,FALSE,9,65532,65532,FALSE,FALSE,TRUE,TRUE,TRUE}</definedName>
    <definedName name="rzkkkkkkk_1" hidden="1">{TRUE,TRUE,-1.25,-15.5,772.5,492.75,FALSE,FALSE,TRUE,TRUE,0,1,4,1,57,3,5,4,TRUE,TRUE,3,TRUE,1,TRUE,100,"Swvu.Budget_1996.","ACwvu.Budget_1996.",#N/A,FALSE,FALSE,1.08,0.25,0.590551181102362,0.393700787401575,1,"","&amp;L&amp;6&amp;F / &amp;A / &amp;D",FALSE,FALSE,FALSE,FALSE,1,100,#N/A,#N/A,FALSE,FALSE,"Rwvu.Budget_1996.",#N/A,FALSE,FALSE,FALSE,9,65532,65532,FALSE,FALSE,TRUE,TRUE,TRUE}</definedName>
    <definedName name="sa" hidden="1">{#N/A,#N/A,FALSE,"Bl. 1";#N/A,#N/A,FALSE,"Bl. 2";#N/A,#N/A,FALSE,"Bl. 3";#N/A,#N/A,FALSE,"Bl. 4";#N/A,#N/A,FALSE,"Bl. 6";#N/A,#N/A,FALSE,"Bl. 7";#N/A,#N/A,FALSE,"BL. 8";#N/A,#N/A,FALSE,"Bl. 9";#N/A,#N/A,FALSE,"Bl. 10";#N/A,#N/A,FALSE,"Bl. 12"}</definedName>
    <definedName name="sa_1" hidden="1">{#N/A,#N/A,FALSE,"Bl. 1";#N/A,#N/A,FALSE,"Bl. 2";#N/A,#N/A,FALSE,"Bl. 3";#N/A,#N/A,FALSE,"Bl. 4";#N/A,#N/A,FALSE,"Bl. 6";#N/A,#N/A,FALSE,"Bl. 7";#N/A,#N/A,FALSE,"BL. 8";#N/A,#N/A,FALSE,"Bl. 9";#N/A,#N/A,FALSE,"Bl. 10";#N/A,#N/A,FALSE,"Bl. 12"}</definedName>
    <definedName name="SAEA" hidden="1">{TRUE,TRUE,-1.25,-15.5,772.5,492.75,FALSE,TRUE,TRUE,TRUE,0,1,#N/A,1,#N/A,12.7125,22.0869565217391,1,FALSE,FALSE,3,TRUE,1,FALSE,100,"Swvu.Ergebnisüberleitung.","ACwvu.Ergebnisüberleitung.",#N/A,FALSE,FALSE,0.78740157480315,0.78740157480315,0.590551181102362,0.393700787401575,1,"","&amp;L&amp;""Arial,Kursiv""&amp;6&amp;F / &amp;A / &amp;D",FALSE,FALSE,FALSE,FALSE,1,100,#N/A,#N/A,"=R1C1:R39C8",FALSE,"Rwvu.Ergebnisüberleitung.",#N/A,FALSE,FALSE,TRUE,9,65532,65532,FALSE,FALSE,TRUE,TRUE,TRUE}</definedName>
    <definedName name="SAEA_1" hidden="1">{TRUE,TRUE,-1.25,-15.5,772.5,492.75,FALSE,TRUE,TRUE,TRUE,0,1,#N/A,1,#N/A,12.7125,22.0869565217391,1,FALSE,FALSE,3,TRUE,1,FALSE,100,"Swvu.Ergebnisüberleitung.","ACwvu.Ergebnisüberleitung.",#N/A,FALSE,FALSE,0.78740157480315,0.78740157480315,0.590551181102362,0.393700787401575,1,"","&amp;L&amp;""Arial,Kursiv""&amp;6&amp;F / &amp;A / &amp;D",FALSE,FALSE,FALSE,FALSE,1,100,#N/A,#N/A,"=R1C1:R39C8",FALSE,"Rwvu.Ergebnisüberleitung.",#N/A,FALSE,FALSE,TRUE,9,65532,65532,FALSE,FALSE,TRUE,TRUE,TRUE}</definedName>
    <definedName name="sahne" hidden="1">{TRUE,TRUE,-1.25,-15.5,772.5,492.75,FALSE,FALSE,TRUE,TRUE,0,1,4,1,57,3,5,4,TRUE,TRUE,3,TRUE,1,TRUE,100,"Swvu.Alles.","ACwvu.Alles.",#N/A,FALSE,FALSE,1.08,0.25,0.590551181102362,0.393700787401575,1,"","&amp;L&amp;6&amp;F / &amp;A / &amp;D",FALSE,FALSE,FALSE,FALSE,1,100,#N/A,#N/A,FALSE,FALSE,#N/A,#N/A,FALSE,FALSE,FALSE,9,65532,65532,FALSE,FALSE,TRUE,TRUE,TRUE}</definedName>
    <definedName name="sahne_1" hidden="1">{TRUE,TRUE,-1.25,-15.5,772.5,492.75,FALSE,FALSE,TRUE,TRUE,0,1,4,1,57,3,5,4,TRUE,TRUE,3,TRUE,1,TRUE,100,"Swvu.Alles.","ACwvu.Alles.",#N/A,FALSE,FALSE,1.08,0.25,0.590551181102362,0.393700787401575,1,"","&amp;L&amp;6&amp;F / &amp;A / &amp;D",FALSE,FALSE,FALSE,FALSE,1,100,#N/A,#N/A,FALSE,FALSE,#N/A,#N/A,FALSE,FALSE,FALSE,9,65532,65532,FALSE,FALSE,TRUE,TRUE,TRUE}</definedName>
    <definedName name="sahne_1_1" hidden="1">{TRUE,TRUE,-1.25,-15.5,772.5,492.75,FALSE,FALSE,TRUE,TRUE,0,1,4,1,57,3,5,4,TRUE,TRUE,3,TRUE,1,TRUE,100,"Swvu.Alles.","ACwvu.Alles.",#N/A,FALSE,FALSE,1.08,0.25,0.590551181102362,0.393700787401575,1,"","&amp;L&amp;6&amp;F / &amp;A / &amp;D",FALSE,FALSE,FALSE,FALSE,1,100,#N/A,#N/A,FALSE,FALSE,#N/A,#N/A,FALSE,FALSE,FALSE,9,65532,65532,FALSE,FALSE,TRUE,TRUE,TRUE}</definedName>
    <definedName name="sahne_2" hidden="1">{TRUE,TRUE,-1.25,-15.5,772.5,492.75,FALSE,FALSE,TRUE,TRUE,0,1,4,1,57,3,5,4,TRUE,TRUE,3,TRUE,1,TRUE,100,"Swvu.Alles.","ACwvu.Alles.",#N/A,FALSE,FALSE,1.08,0.25,0.590551181102362,0.393700787401575,1,"","&amp;L&amp;6&amp;F / &amp;A / &amp;D",FALSE,FALSE,FALSE,FALSE,1,100,#N/A,#N/A,FALSE,FALSE,#N/A,#N/A,FALSE,FALSE,FALSE,9,65532,65532,FALSE,FALSE,TRUE,TRUE,TRUE}</definedName>
    <definedName name="SAPBEXhrIndnt" hidden="1">2</definedName>
    <definedName name="SAPBEXrevision" hidden="1">1</definedName>
    <definedName name="SAPBEXrevision_1" hidden="1">5</definedName>
    <definedName name="SAPBEXrevision_1_1" hidden="1">10</definedName>
    <definedName name="SAPBEXsysID" hidden="1">"UVP"</definedName>
    <definedName name="SAPBEXsysID_1" hidden="1">"HCP"</definedName>
    <definedName name="SAPBEXwbID" hidden="1">"3Q0DO0CDFWH315TPZ7V4KZG9T"</definedName>
    <definedName name="SAPBEXwbID_1" hidden="1">"47QGW46GWQUU82XQWNUMC26MH"</definedName>
    <definedName name="SAPFuncF4Help" hidden="1">Main.SAPF4Help()</definedName>
    <definedName name="sdfg" hidden="1">{TRUE,TRUE,-1.25,-15.5,772.5,492.75,FALSE,FALSE,TRUE,TRUE,0,1,4,1,57,3,5,4,TRUE,TRUE,3,TRUE,1,TRUE,100,"Swvu.Budget_1997.","ACwvu.Budget_1997.",#N/A,FALSE,FALSE,1.08,0.25,0.590551181102362,0.393700787401575,1,"","&amp;L&amp;6&amp;F / &amp;A / &amp;D",FALSE,FALSE,FALSE,FALSE,1,100,#N/A,#N/A,FALSE,FALSE,"Rwvu.Budget_1997.",#N/A,FALSE,FALSE,FALSE,9,65532,65532,FALSE,FALSE,TRUE,TRUE,TRUE}</definedName>
    <definedName name="sdfg_1" hidden="1">{TRUE,TRUE,-1.25,-15.5,772.5,492.75,FALSE,FALSE,TRUE,TRUE,0,1,4,1,57,3,5,4,TRUE,TRUE,3,TRUE,1,TRUE,100,"Swvu.Budget_1997.","ACwvu.Budget_1997.",#N/A,FALSE,FALSE,1.08,0.25,0.590551181102362,0.393700787401575,1,"","&amp;L&amp;6&amp;F / &amp;A / &amp;D",FALSE,FALSE,FALSE,FALSE,1,100,#N/A,#N/A,FALSE,FALSE,"Rwvu.Budget_1997.",#N/A,FALSE,FALSE,FALSE,9,65532,65532,FALSE,FALSE,TRUE,TRUE,TRUE}</definedName>
    <definedName name="sdfgd" hidden="1">{TRUE,TRUE,-1.25,-15.5,772.5,492.75,FALSE,TRUE,TRUE,TRUE,0,1,#N/A,1,#N/A,12.65,22.0869565217391,1,FALSE,FALSE,3,TRUE,1,FALSE,100,"Swvu.FC_10_Details.","ACwvu.FC_10_Details.",#N/A,FALSE,FALSE,0.78740157480315,0.78740157480315,0.590551181102362,0.393700787401575,1,"","&amp;L&amp;""Arial,Kursiv""&amp;6&amp;F / &amp;A / &amp;D",FALSE,FALSE,FALSE,FALSE,1,100,#N/A,#N/A,"=R1C1:R39C8",FALSE,#N/A,#N/A,FALSE,FALSE,FALSE,9,65532,65532,FALSE,FALSE,TRUE,TRUE,TRUE}</definedName>
    <definedName name="sdfgd_1" hidden="1">{TRUE,TRUE,-1.25,-15.5,772.5,492.75,FALSE,TRUE,TRUE,TRUE,0,1,#N/A,1,#N/A,12.65,22.0869565217391,1,FALSE,FALSE,3,TRUE,1,FALSE,100,"Swvu.FC_10_Details.","ACwvu.FC_10_Details.",#N/A,FALSE,FALSE,0.78740157480315,0.78740157480315,0.590551181102362,0.393700787401575,1,"","&amp;L&amp;""Arial,Kursiv""&amp;6&amp;F / &amp;A / &amp;D",FALSE,FALSE,FALSE,FALSE,1,100,#N/A,#N/A,"=R1C1:R39C8",FALSE,#N/A,#N/A,FALSE,FALSE,FALSE,9,65532,65532,FALSE,FALSE,TRUE,TRUE,TRUE}</definedName>
    <definedName name="SDT">#REF!</definedName>
    <definedName name="SF" hidden="1">{TRUE,TRUE,-1.25,-15.5,772.5,492.75,FALSE,FALSE,TRUE,TRUE,0,1,4,1,57,3,5,4,TRUE,TRUE,3,TRUE,1,TRUE,100,"Swvu.Budget_1997.","ACwvu.Budget_1997.",#N/A,FALSE,FALSE,1.08,0.25,0.590551181102362,0.393700787401575,1,"","&amp;L&amp;6&amp;F / &amp;A / &amp;D",FALSE,FALSE,FALSE,FALSE,1,100,#N/A,#N/A,FALSE,FALSE,"Rwvu.Budget_1997.",#N/A,FALSE,FALSE,FALSE,9,65532,65532,FALSE,FALSE,TRUE,TRUE,TRUE}</definedName>
    <definedName name="SF_1" hidden="1">{TRUE,TRUE,-1.25,-15.5,772.5,492.75,FALSE,FALSE,TRUE,TRUE,0,1,4,1,57,3,5,4,TRUE,TRUE,3,TRUE,1,TRUE,100,"Swvu.Budget_1997.","ACwvu.Budget_1997.",#N/A,FALSE,FALSE,1.08,0.25,0.590551181102362,0.393700787401575,1,"","&amp;L&amp;6&amp;F / &amp;A / &amp;D",FALSE,FALSE,FALSE,FALSE,1,100,#N/A,#N/A,FALSE,FALSE,"Rwvu.Budget_1997.",#N/A,FALSE,FALSE,FALSE,9,65532,65532,FALSE,FALSE,TRUE,TRUE,TRUE}</definedName>
    <definedName name="SF_1_1" hidden="1">{TRUE,TRUE,-1.25,-15.5,772.5,492.75,FALSE,FALSE,TRUE,TRUE,0,1,4,1,57,3,5,4,TRUE,TRUE,3,TRUE,1,TRUE,100,"Swvu.Budget_1997.","ACwvu.Budget_1997.",#N/A,FALSE,FALSE,1.08,0.25,0.590551181102362,0.393700787401575,1,"","&amp;L&amp;6&amp;F / &amp;A / &amp;D",FALSE,FALSE,FALSE,FALSE,1,100,#N/A,#N/A,FALSE,FALSE,"Rwvu.Budget_1997.",#N/A,FALSE,FALSE,FALSE,9,65532,65532,FALSE,FALSE,TRUE,TRUE,TRUE}</definedName>
    <definedName name="SF_2" hidden="1">{TRUE,TRUE,-1.25,-15.5,772.5,492.75,FALSE,FALSE,TRUE,TRUE,0,1,4,1,57,3,5,4,TRUE,TRUE,3,TRUE,1,TRUE,100,"Swvu.Budget_1997.","ACwvu.Budget_1997.",#N/A,FALSE,FALSE,1.08,0.25,0.590551181102362,0.393700787401575,1,"","&amp;L&amp;6&amp;F / &amp;A / &amp;D",FALSE,FALSE,FALSE,FALSE,1,100,#N/A,#N/A,FALSE,FALSE,"Rwvu.Budget_1997.",#N/A,FALSE,FALSE,FALSE,9,65532,65532,FALSE,FALSE,TRUE,TRUE,TRUE}</definedName>
    <definedName name="sghh" hidden="1">{TRUE,TRUE,-1.25,-15.5,772.5,492.75,FALSE,FALSE,TRUE,TRUE,0,1,4,1,57,3,5,4,TRUE,TRUE,3,TRUE,1,TRUE,100,"Swvu.Alles.","ACwvu.Alles.",#N/A,FALSE,FALSE,1.08,0.25,0.590551181102362,0.393700787401575,1,"","&amp;L&amp;6&amp;F / &amp;A / &amp;D",FALSE,FALSE,FALSE,FALSE,1,100,#N/A,#N/A,FALSE,FALSE,#N/A,#N/A,FALSE,FALSE,FALSE,9,65532,65532,FALSE,FALSE,TRUE,TRUE,TRUE}</definedName>
    <definedName name="sghh_1" hidden="1">{TRUE,TRUE,-1.25,-15.5,772.5,492.75,FALSE,FALSE,TRUE,TRUE,0,1,4,1,57,3,5,4,TRUE,TRUE,3,TRUE,1,TRUE,100,"Swvu.Alles.","ACwvu.Alles.",#N/A,FALSE,FALSE,1.08,0.25,0.590551181102362,0.393700787401575,1,"","&amp;L&amp;6&amp;F / &amp;A / &amp;D",FALSE,FALSE,FALSE,FALSE,1,100,#N/A,#N/A,FALSE,FALSE,#N/A,#N/A,FALSE,FALSE,FALSE,9,65532,65532,FALSE,FALSE,TRUE,TRUE,TRUE}</definedName>
    <definedName name="sghh_1_1" hidden="1">{TRUE,TRUE,-1.25,-15.5,772.5,492.75,FALSE,FALSE,TRUE,TRUE,0,1,4,1,57,3,5,4,TRUE,TRUE,3,TRUE,1,TRUE,100,"Swvu.Alles.","ACwvu.Alles.",#N/A,FALSE,FALSE,1.08,0.25,0.590551181102362,0.393700787401575,1,"","&amp;L&amp;6&amp;F / &amp;A / &amp;D",FALSE,FALSE,FALSE,FALSE,1,100,#N/A,#N/A,FALSE,FALSE,#N/A,#N/A,FALSE,FALSE,FALSE,9,65532,65532,FALSE,FALSE,TRUE,TRUE,TRUE}</definedName>
    <definedName name="sghh_2" hidden="1">{TRUE,TRUE,-1.25,-15.5,772.5,492.75,FALSE,FALSE,TRUE,TRUE,0,1,4,1,57,3,5,4,TRUE,TRUE,3,TRUE,1,TRUE,100,"Swvu.Alles.","ACwvu.Alles.",#N/A,FALSE,FALSE,1.08,0.25,0.590551181102362,0.393700787401575,1,"","&amp;L&amp;6&amp;F / &amp;A / &amp;D",FALSE,FALSE,FALSE,FALSE,1,100,#N/A,#N/A,FALSE,FALSE,#N/A,#N/A,FALSE,FALSE,FALSE,9,65532,65532,FALSE,FALSE,TRUE,TRUE,TRUE}</definedName>
    <definedName name="sgrz" hidden="1">{TRUE,TRUE,-1.25,-15.5,772.5,492.75,FALSE,TRUE,TRUE,TRUE,0,1,#N/A,1,#N/A,12.65,22.0869565217391,1,FALSE,FALSE,3,TRUE,1,FALSE,100,"Swvu.FC_10_Details.","ACwvu.FC_10_Details.",#N/A,FALSE,FALSE,0.78740157480315,0.78740157480315,0.590551181102362,0.393700787401575,1,"","&amp;L&amp;""Arial,Kursiv""&amp;6&amp;F / &amp;A / &amp;D",FALSE,FALSE,FALSE,FALSE,1,100,#N/A,#N/A,"=R1C1:R39C8",FALSE,#N/A,#N/A,FALSE,FALSE,FALSE,9,65532,65532,FALSE,FALSE,TRUE,TRUE,TRUE}</definedName>
    <definedName name="sgrz_1" hidden="1">{TRUE,TRUE,-1.25,-15.5,772.5,492.75,FALSE,TRUE,TRUE,TRUE,0,1,#N/A,1,#N/A,12.65,22.0869565217391,1,FALSE,FALSE,3,TRUE,1,FALSE,100,"Swvu.FC_10_Details.","ACwvu.FC_10_Details.",#N/A,FALSE,FALSE,0.78740157480315,0.78740157480315,0.590551181102362,0.393700787401575,1,"","&amp;L&amp;""Arial,Kursiv""&amp;6&amp;F / &amp;A / &amp;D",FALSE,FALSE,FALSE,FALSE,1,100,#N/A,#N/A,"=R1C1:R39C8",FALSE,#N/A,#N/A,FALSE,FALSE,FALSE,9,65532,65532,FALSE,FALSE,TRUE,TRUE,TRUE}</definedName>
    <definedName name="shggf" hidden="1">{TRUE,TRUE,-1.25,-15.5,772.5,492.75,FALSE,FALSE,TRUE,TRUE,0,1,4,1,57,3,5,4,TRUE,TRUE,3,TRUE,1,TRUE,100,"Swvu.Budget_1997.","ACwvu.Budget_1997.",#N/A,FALSE,FALSE,1.08,0.25,0.590551181102362,0.393700787401575,1,"","&amp;L&amp;6&amp;F / &amp;A / &amp;D",FALSE,FALSE,FALSE,FALSE,1,100,#N/A,#N/A,FALSE,FALSE,"Rwvu.Budget_1997.",#N/A,FALSE,FALSE,FALSE,9,65532,65532,FALSE,FALSE,TRUE,TRUE,TRUE}</definedName>
    <definedName name="shggf_1" hidden="1">{TRUE,TRUE,-1.25,-15.5,772.5,492.75,FALSE,FALSE,TRUE,TRUE,0,1,4,1,57,3,5,4,TRUE,TRUE,3,TRUE,1,TRUE,100,"Swvu.Budget_1997.","ACwvu.Budget_1997.",#N/A,FALSE,FALSE,1.08,0.25,0.590551181102362,0.393700787401575,1,"","&amp;L&amp;6&amp;F / &amp;A / &amp;D",FALSE,FALSE,FALSE,FALSE,1,100,#N/A,#N/A,FALSE,FALSE,"Rwvu.Budget_1997.",#N/A,FALSE,FALSE,FALSE,9,65532,65532,FALSE,FALSE,TRUE,TRUE,TRUE}</definedName>
    <definedName name="slkdfj" hidden="1">{TRUE,TRUE,-1.25,-15.5,772.5,492.75,FALSE,TRUE,TRUE,TRUE,0,1,#N/A,1,#N/A,12.65,22.0869565217391,1,FALSE,FALSE,3,TRUE,1,FALSE,100,"Swvu.FC_10_Details.","ACwvu.FC_10_Details.",#N/A,FALSE,FALSE,0.78740157480315,0.78740157480315,0.590551181102362,0.393700787401575,1,"","&amp;L&amp;""Arial,Kursiv""&amp;6&amp;F / &amp;A / &amp;D",FALSE,FALSE,FALSE,FALSE,1,100,#N/A,#N/A,"=R1C1:R39C8",FALSE,#N/A,#N/A,FALSE,FALSE,FALSE,9,65532,65532,FALSE,FALSE,TRUE,TRUE,TRUE}</definedName>
    <definedName name="slkdfj_1" hidden="1">{TRUE,TRUE,-1.25,-15.5,772.5,492.75,FALSE,TRUE,TRUE,TRUE,0,1,#N/A,1,#N/A,12.65,22.0869565217391,1,FALSE,FALSE,3,TRUE,1,FALSE,100,"Swvu.FC_10_Details.","ACwvu.FC_10_Details.",#N/A,FALSE,FALSE,0.78740157480315,0.78740157480315,0.590551181102362,0.393700787401575,1,"","&amp;L&amp;""Arial,Kursiv""&amp;6&amp;F / &amp;A / &amp;D",FALSE,FALSE,FALSE,FALSE,1,100,#N/A,#N/A,"=R1C1:R39C8",FALSE,#N/A,#N/A,FALSE,FALSE,FALSE,9,65532,65532,FALSE,FALSE,TRUE,TRUE,TRUE}</definedName>
    <definedName name="slkdfj_1_1" hidden="1">{TRUE,TRUE,-1.25,-15.5,772.5,492.75,FALSE,TRUE,TRUE,TRUE,0,1,#N/A,1,#N/A,12.65,22.0869565217391,1,FALSE,FALSE,3,TRUE,1,FALSE,100,"Swvu.FC_10_Details.","ACwvu.FC_10_Details.",#N/A,FALSE,FALSE,0.78740157480315,0.78740157480315,0.590551181102362,0.393700787401575,1,"","&amp;L&amp;""Arial,Kursiv""&amp;6&amp;F / &amp;A / &amp;D",FALSE,FALSE,FALSE,FALSE,1,100,#N/A,#N/A,"=R1C1:R39C8",FALSE,#N/A,#N/A,FALSE,FALSE,FALSE,9,65532,65532,FALSE,FALSE,TRUE,TRUE,TRUE}</definedName>
    <definedName name="slkdfj_2" hidden="1">{TRUE,TRUE,-1.25,-15.5,772.5,492.75,FALSE,TRUE,TRUE,TRUE,0,1,#N/A,1,#N/A,12.65,22.0869565217391,1,FALSE,FALSE,3,TRUE,1,FALSE,100,"Swvu.FC_10_Details.","ACwvu.FC_10_Details.",#N/A,FALSE,FALSE,0.78740157480315,0.78740157480315,0.590551181102362,0.393700787401575,1,"","&amp;L&amp;""Arial,Kursiv""&amp;6&amp;F / &amp;A / &amp;D",FALSE,FALSE,FALSE,FALSE,1,100,#N/A,#N/A,"=R1C1:R39C8",FALSE,#N/A,#N/A,FALSE,FALSE,FALSE,9,65532,65532,FALSE,FALSE,TRUE,TRUE,TRUE}</definedName>
    <definedName name="slkjfow" hidden="1">{TRUE,TRUE,-1.25,-15.5,772.5,492.75,FALSE,TRUE,TRUE,TRUE,0,1,#N/A,1,#N/A,12.65,22.0869565217391,1,FALSE,FALSE,3,TRUE,1,FALSE,100,"Swvu.FC_10_Details.","ACwvu.FC_10_Details.",#N/A,FALSE,FALSE,0.78740157480315,0.78740157480315,0.590551181102362,0.393700787401575,1,"","&amp;L&amp;""Arial,Kursiv""&amp;6&amp;F / &amp;A / &amp;D",FALSE,FALSE,FALSE,FALSE,1,100,#N/A,#N/A,"=R1C1:R39C8",FALSE,#N/A,#N/A,FALSE,FALSE,FALSE,9,65532,65532,FALSE,FALSE,TRUE,TRUE,TRUE}</definedName>
    <definedName name="slkjfow_1" hidden="1">{TRUE,TRUE,-1.25,-15.5,772.5,492.75,FALSE,TRUE,TRUE,TRUE,0,1,#N/A,1,#N/A,12.65,22.0869565217391,1,FALSE,FALSE,3,TRUE,1,FALSE,100,"Swvu.FC_10_Details.","ACwvu.FC_10_Details.",#N/A,FALSE,FALSE,0.78740157480315,0.78740157480315,0.590551181102362,0.393700787401575,1,"","&amp;L&amp;""Arial,Kursiv""&amp;6&amp;F / &amp;A / &amp;D",FALSE,FALSE,FALSE,FALSE,1,100,#N/A,#N/A,"=R1C1:R39C8",FALSE,#N/A,#N/A,FALSE,FALSE,FALSE,9,65532,65532,FALSE,FALSE,TRUE,TRUE,TRUE}</definedName>
    <definedName name="slkjfow_1_1" hidden="1">{TRUE,TRUE,-1.25,-15.5,772.5,492.75,FALSE,TRUE,TRUE,TRUE,0,1,#N/A,1,#N/A,12.65,22.0869565217391,1,FALSE,FALSE,3,TRUE,1,FALSE,100,"Swvu.FC_10_Details.","ACwvu.FC_10_Details.",#N/A,FALSE,FALSE,0.78740157480315,0.78740157480315,0.590551181102362,0.393700787401575,1,"","&amp;L&amp;""Arial,Kursiv""&amp;6&amp;F / &amp;A / &amp;D",FALSE,FALSE,FALSE,FALSE,1,100,#N/A,#N/A,"=R1C1:R39C8",FALSE,#N/A,#N/A,FALSE,FALSE,FALSE,9,65532,65532,FALSE,FALSE,TRUE,TRUE,TRUE}</definedName>
    <definedName name="slkjfow_2" hidden="1">{TRUE,TRUE,-1.25,-15.5,772.5,492.75,FALSE,TRUE,TRUE,TRUE,0,1,#N/A,1,#N/A,12.65,22.0869565217391,1,FALSE,FALSE,3,TRUE,1,FALSE,100,"Swvu.FC_10_Details.","ACwvu.FC_10_Details.",#N/A,FALSE,FALSE,0.78740157480315,0.78740157480315,0.590551181102362,0.393700787401575,1,"","&amp;L&amp;""Arial,Kursiv""&amp;6&amp;F / &amp;A / &amp;D",FALSE,FALSE,FALSE,FALSE,1,100,#N/A,#N/A,"=R1C1:R39C8",FALSE,#N/A,#N/A,FALSE,FALSE,FALSE,9,65532,65532,FALSE,FALSE,TRUE,TRUE,TRUE}</definedName>
    <definedName name="Sofo_Auto_GEZ" hidden="1">{TRUE,TRUE,-1.25,-15.5,772.5,492.75,FALSE,FALSE,TRUE,TRUE,0,1,4,1,57,3,5,4,TRUE,TRUE,3,TRUE,1,TRUE,100,"Swvu.Alles.","ACwvu.Alles.",#N/A,FALSE,FALSE,1.08,0.25,0.590551181102362,0.393700787401575,1,"","&amp;L&amp;6&amp;F / &amp;A / &amp;D",FALSE,FALSE,FALSE,FALSE,1,100,#N/A,#N/A,FALSE,FALSE,#N/A,#N/A,FALSE,FALSE,FALSE,9,65532,65532,FALSE,FALSE,TRUE,TRUE,TRUE}</definedName>
    <definedName name="Sofo_Auto_GEZ_1" hidden="1">{TRUE,TRUE,-1.25,-15.5,772.5,492.75,FALSE,FALSE,TRUE,TRUE,0,1,4,1,57,3,5,4,TRUE,TRUE,3,TRUE,1,TRUE,100,"Swvu.Alles.","ACwvu.Alles.",#N/A,FALSE,FALSE,1.08,0.25,0.590551181102362,0.393700787401575,1,"","&amp;L&amp;6&amp;F / &amp;A / &amp;D",FALSE,FALSE,FALSE,FALSE,1,100,#N/A,#N/A,FALSE,FALSE,#N/A,#N/A,FALSE,FALSE,FALSE,9,65532,65532,FALSE,FALSE,TRUE,TRUE,TRUE}</definedName>
    <definedName name="Sofo_Auto_GEZL" hidden="1">{TRUE,TRUE,-1.25,-15.5,772.5,492.75,FALSE,FALSE,TRUE,TRUE,0,1,4,1,57,3,5,4,TRUE,TRUE,3,TRUE,1,TRUE,100,"Swvu.Alles.","ACwvu.Alles.",#N/A,FALSE,FALSE,1.08,0.25,0.590551181102362,0.393700787401575,1,"","&amp;L&amp;6&amp;F / &amp;A / &amp;D",FALSE,FALSE,FALSE,FALSE,1,100,#N/A,#N/A,FALSE,FALSE,#N/A,#N/A,FALSE,FALSE,FALSE,9,65532,65532,FALSE,FALSE,TRUE,TRUE,TRUE}</definedName>
    <definedName name="Sofo_Auto_GEZL_1" hidden="1">{TRUE,TRUE,-1.25,-15.5,772.5,492.75,FALSE,FALSE,TRUE,TRUE,0,1,4,1,57,3,5,4,TRUE,TRUE,3,TRUE,1,TRUE,100,"Swvu.Alles.","ACwvu.Alles.",#N/A,FALSE,FALSE,1.08,0.25,0.590551181102362,0.393700787401575,1,"","&amp;L&amp;6&amp;F / &amp;A / &amp;D",FALSE,FALSE,FALSE,FALSE,1,100,#N/A,#N/A,FALSE,FALSE,#N/A,#N/A,FALSE,FALSE,FALSE,9,65532,65532,FALSE,FALSE,TRUE,TRUE,TRUE}</definedName>
    <definedName name="Sofo_Auto_GEZL_1_1" hidden="1">{TRUE,TRUE,-1.25,-15.5,772.5,492.75,FALSE,FALSE,TRUE,TRUE,0,1,4,1,57,3,5,4,TRUE,TRUE,3,TRUE,1,TRUE,100,"Swvu.Alles.","ACwvu.Alles.",#N/A,FALSE,FALSE,1.08,0.25,0.590551181102362,0.393700787401575,1,"","&amp;L&amp;6&amp;F / &amp;A / &amp;D",FALSE,FALSE,FALSE,FALSE,1,100,#N/A,#N/A,FALSE,FALSE,#N/A,#N/A,FALSE,FALSE,FALSE,9,65532,65532,FALSE,FALSE,TRUE,TRUE,TRUE}</definedName>
    <definedName name="Sofo_Auto_GEZL_2" hidden="1">{TRUE,TRUE,-1.25,-15.5,772.5,492.75,FALSE,FALSE,TRUE,TRUE,0,1,4,1,57,3,5,4,TRUE,TRUE,3,TRUE,1,TRUE,100,"Swvu.Alles.","ACwvu.Alles.",#N/A,FALSE,FALSE,1.08,0.25,0.590551181102362,0.393700787401575,1,"","&amp;L&amp;6&amp;F / &amp;A / &amp;D",FALSE,FALSE,FALSE,FALSE,1,100,#N/A,#N/A,FALSE,FALSE,#N/A,#N/A,FALSE,FALSE,FALSE,9,65532,65532,FALSE,FALSE,TRUE,TRUE,TRUE}</definedName>
    <definedName name="solver_num" hidden="1">0</definedName>
    <definedName name="solver_typ" hidden="1">1</definedName>
    <definedName name="solver_val" hidden="1">0</definedName>
    <definedName name="som">#REF!</definedName>
    <definedName name="Sommaire">#REF!</definedName>
    <definedName name="sr" hidden="1">{#N/A,#N/A,FALSE,"Bl. 1";#N/A,#N/A,FALSE,"Bl. 2";#N/A,#N/A,FALSE,"Bl. 3";#N/A,#N/A,FALSE,"Bl. 4";#N/A,#N/A,FALSE,"Bl. 6";#N/A,#N/A,FALSE,"Bl. 7";#N/A,#N/A,FALSE,"BL. 8";#N/A,#N/A,FALSE,"Bl. 9";#N/A,#N/A,FALSE,"Bl. 10";#N/A,#N/A,FALSE,"Bl. 12"}</definedName>
    <definedName name="sr_1" hidden="1">{#N/A,#N/A,FALSE,"Bl. 1";#N/A,#N/A,FALSE,"Bl. 2";#N/A,#N/A,FALSE,"Bl. 3";#N/A,#N/A,FALSE,"Bl. 4";#N/A,#N/A,FALSE,"Bl. 6";#N/A,#N/A,FALSE,"Bl. 7";#N/A,#N/A,FALSE,"BL. 8";#N/A,#N/A,FALSE,"Bl. 9";#N/A,#N/A,FALSE,"Bl. 10";#N/A,#N/A,FALSE,"Bl. 12"}</definedName>
    <definedName name="ss" hidden="1">{#N/A,#N/A,FALSE,"Bl. 1";#N/A,#N/A,FALSE,"Bl. 2";#N/A,#N/A,FALSE,"Bl. 3";#N/A,#N/A,FALSE,"Bl. 4";#N/A,#N/A,FALSE,"Bl. 6";#N/A,#N/A,FALSE,"Bl. 7";#N/A,#N/A,FALSE,"BL. 8";#N/A,#N/A,FALSE,"Bl. 9";#N/A,#N/A,FALSE,"Bl. 10";#N/A,#N/A,FALSE,"Bl. 12"}</definedName>
    <definedName name="ss_1" hidden="1">{#N/A,#N/A,FALSE,"Bl. 1";#N/A,#N/A,FALSE,"Bl. 2";#N/A,#N/A,FALSE,"Bl. 3";#N/A,#N/A,FALSE,"Bl. 4";#N/A,#N/A,FALSE,"Bl. 6";#N/A,#N/A,FALSE,"Bl. 7";#N/A,#N/A,FALSE,"BL. 8";#N/A,#N/A,FALSE,"Bl. 9";#N/A,#N/A,FALSE,"Bl. 10";#N/A,#N/A,FALSE,"Bl. 12"}</definedName>
    <definedName name="ssss" hidden="1">{TRUE,TRUE,-1.25,-15.5,772.5,492.75,FALSE,FALSE,TRUE,TRUE,0,1,4,1,57,3,5,4,TRUE,TRUE,3,TRUE,1,TRUE,100,"Swvu.Alles.","ACwvu.Alles.",#N/A,FALSE,FALSE,1.08,0.25,0.590551181102362,0.393700787401575,1,"","&amp;L&amp;6&amp;F / &amp;A / &amp;D",FALSE,FALSE,FALSE,FALSE,1,100,#N/A,#N/A,FALSE,FALSE,#N/A,#N/A,FALSE,FALSE,FALSE,9,65532,65532,FALSE,FALSE,TRUE,TRUE,TRUE}</definedName>
    <definedName name="ssss_1" hidden="1">{TRUE,TRUE,-1.25,-15.5,772.5,492.75,FALSE,FALSE,TRUE,TRUE,0,1,4,1,57,3,5,4,TRUE,TRUE,3,TRUE,1,TRUE,100,"Swvu.Alles.","ACwvu.Alles.",#N/A,FALSE,FALSE,1.08,0.25,0.590551181102362,0.393700787401575,1,"","&amp;L&amp;6&amp;F / &amp;A / &amp;D",FALSE,FALSE,FALSE,FALSE,1,100,#N/A,#N/A,FALSE,FALSE,#N/A,#N/A,FALSE,FALSE,FALSE,9,65532,65532,FALSE,FALSE,TRUE,TRUE,TRUE}</definedName>
    <definedName name="swet" hidden="1">{TRUE,TRUE,-1.25,-15.5,772.5,492.75,FALSE,TRUE,TRUE,TRUE,0,1,#N/A,1,#N/A,12.7125,22.0869565217391,1,FALSE,FALSE,3,TRUE,1,FALSE,100,"Swvu.Ergebnisüberleitung.","ACwvu.Ergebnisüberleitung.",#N/A,FALSE,FALSE,0.78740157480315,0.78740157480315,0.590551181102362,0.393700787401575,1,"","&amp;L&amp;""Arial,Kursiv""&amp;6&amp;F / &amp;A / &amp;D",FALSE,FALSE,FALSE,FALSE,1,100,#N/A,#N/A,"=R1C1:R39C8",FALSE,"Rwvu.Ergebnisüberleitung.",#N/A,FALSE,FALSE,TRUE,9,65532,65532,FALSE,FALSE,TRUE,TRUE,TRUE}</definedName>
    <definedName name="swet_1" hidden="1">{TRUE,TRUE,-1.25,-15.5,772.5,492.75,FALSE,TRUE,TRUE,TRUE,0,1,#N/A,1,#N/A,12.7125,22.0869565217391,1,FALSE,FALSE,3,TRUE,1,FALSE,100,"Swvu.Ergebnisüberleitung.","ACwvu.Ergebnisüberleitung.",#N/A,FALSE,FALSE,0.78740157480315,0.78740157480315,0.590551181102362,0.393700787401575,1,"","&amp;L&amp;""Arial,Kursiv""&amp;6&amp;F / &amp;A / &amp;D",FALSE,FALSE,FALSE,FALSE,1,100,#N/A,#N/A,"=R1C1:R39C8",FALSE,"Rwvu.Ergebnisüberleitung.",#N/A,FALSE,FALSE,TRUE,9,65532,65532,FALSE,FALSE,TRUE,TRUE,TRUE}</definedName>
    <definedName name="swet_1_1" hidden="1">{TRUE,TRUE,-1.25,-15.5,772.5,492.75,FALSE,TRUE,TRUE,TRUE,0,1,#N/A,1,#N/A,12.7125,22.0869565217391,1,FALSE,FALSE,3,TRUE,1,FALSE,100,"Swvu.Ergebnisüberleitung.","ACwvu.Ergebnisüberleitung.",#N/A,FALSE,FALSE,0.78740157480315,0.78740157480315,0.590551181102362,0.393700787401575,1,"","&amp;L&amp;""Arial,Kursiv""&amp;6&amp;F / &amp;A / &amp;D",FALSE,FALSE,FALSE,FALSE,1,100,#N/A,#N/A,"=R1C1:R39C8",FALSE,"Rwvu.Ergebnisüberleitung.",#N/A,FALSE,FALSE,TRUE,9,65532,65532,FALSE,FALSE,TRUE,TRUE,TRUE}</definedName>
    <definedName name="swet_2" hidden="1">{TRUE,TRUE,-1.25,-15.5,772.5,492.75,FALSE,TRUE,TRUE,TRUE,0,1,#N/A,1,#N/A,12.7125,22.0869565217391,1,FALSE,FALSE,3,TRUE,1,FALSE,100,"Swvu.Ergebnisüberleitung.","ACwvu.Ergebnisüberleitung.",#N/A,FALSE,FALSE,0.78740157480315,0.78740157480315,0.590551181102362,0.393700787401575,1,"","&amp;L&amp;""Arial,Kursiv""&amp;6&amp;F / &amp;A / &amp;D",FALSE,FALSE,FALSE,FALSE,1,100,#N/A,#N/A,"=R1C1:R39C8",FALSE,"Rwvu.Ergebnisüberleitung.",#N/A,FALSE,FALSE,TRUE,9,65532,65532,FALSE,FALSE,TRUE,TRUE,TRUE}</definedName>
    <definedName name="sx" hidden="1">{#N/A,#N/A,FALSE,"Z3 1,8i";#N/A,#N/A,FALSE,"Z3 1,9iS";#N/A,#N/A,FALSE,"Z3 2,8i";#N/A,#N/A,FALSE,"Z3 2,8i Coupé"}</definedName>
    <definedName name="sx_1" hidden="1">{#N/A,#N/A,FALSE,"Z3 1,8i";#N/A,#N/A,FALSE,"Z3 1,9iS";#N/A,#N/A,FALSE,"Z3 2,8i";#N/A,#N/A,FALSE,"Z3 2,8i Coupé"}</definedName>
    <definedName name="t" hidden="1">{TRUE,TRUE,-1.25,-15.5,772.5,492.75,FALSE,FALSE,TRUE,TRUE,0,1,4,1,57,3,5,4,TRUE,TRUE,3,TRUE,1,TRUE,100,"Swvu.Budget_1997.","ACwvu.Budget_1997.",#N/A,FALSE,FALSE,1.08,0.25,0.590551181102362,0.393700787401575,1,"","&amp;L&amp;6&amp;F / &amp;A / &amp;D",FALSE,FALSE,FALSE,FALSE,1,100,#N/A,#N/A,FALSE,FALSE,"Rwvu.Budget_1997.",#N/A,FALSE,FALSE,FALSE,9,65532,65532,FALSE,FALSE,TRUE,TRUE,TRUE}</definedName>
    <definedName name="t_1" hidden="1">{TRUE,TRUE,-1.25,-15.5,772.5,492.75,FALSE,FALSE,TRUE,TRUE,0,1,4,1,57,3,5,4,TRUE,TRUE,3,TRUE,1,TRUE,100,"Swvu.Budget_1997.","ACwvu.Budget_1997.",#N/A,FALSE,FALSE,1.08,0.25,0.590551181102362,0.393700787401575,1,"","&amp;L&amp;6&amp;F / &amp;A / &amp;D",FALSE,FALSE,FALSE,FALSE,1,100,#N/A,#N/A,FALSE,FALSE,"Rwvu.Budget_1997.",#N/A,FALSE,FALSE,FALSE,9,65532,65532,FALSE,FALSE,TRUE,TRUE,TRUE}</definedName>
    <definedName name="t_1_1" hidden="1">{TRUE,TRUE,-1.25,-15.5,772.5,492.75,FALSE,FALSE,TRUE,TRUE,0,1,4,1,57,3,5,4,TRUE,TRUE,3,TRUE,1,TRUE,100,"Swvu.Budget_1997.","ACwvu.Budget_1997.",#N/A,FALSE,FALSE,1.08,0.25,0.590551181102362,0.393700787401575,1,"","&amp;L&amp;6&amp;F / &amp;A / &amp;D",FALSE,FALSE,FALSE,FALSE,1,100,#N/A,#N/A,FALSE,FALSE,"Rwvu.Budget_1997.",#N/A,FALSE,FALSE,FALSE,9,65532,65532,FALSE,FALSE,TRUE,TRUE,TRUE}</definedName>
    <definedName name="t_2" hidden="1">{TRUE,TRUE,-1.25,-15.5,772.5,492.75,FALSE,FALSE,TRUE,TRUE,0,1,4,1,57,3,5,4,TRUE,TRUE,3,TRUE,1,TRUE,100,"Swvu.Budget_1997.","ACwvu.Budget_1997.",#N/A,FALSE,FALSE,1.08,0.25,0.590551181102362,0.393700787401575,1,"","&amp;L&amp;6&amp;F / &amp;A / &amp;D",FALSE,FALSE,FALSE,FALSE,1,100,#N/A,#N/A,FALSE,FALSE,"Rwvu.Budget_1997.",#N/A,FALSE,FALSE,FALSE,9,65532,65532,FALSE,FALSE,TRUE,TRUE,TRUE}</definedName>
    <definedName name="Tableau">#REF!</definedName>
    <definedName name="TableauC1">#REF!</definedName>
    <definedName name="TableauC10">#REF!</definedName>
    <definedName name="TableauC11">#REF!</definedName>
    <definedName name="TableauC12">#REF!</definedName>
    <definedName name="TableauC13">#REF!</definedName>
    <definedName name="TableauC14">#REF!</definedName>
    <definedName name="TableauC15">#REF!</definedName>
    <definedName name="TableauC16">#REF!</definedName>
    <definedName name="TableauC17">#REF!</definedName>
    <definedName name="TableauC18">#REF!</definedName>
    <definedName name="TableauC19">#REF!</definedName>
    <definedName name="TableauC2">#REF!</definedName>
    <definedName name="TableauC20">#REF!</definedName>
    <definedName name="TableauC21">#REF!</definedName>
    <definedName name="TableauC22">#REF!</definedName>
    <definedName name="TableauC23">#REF!</definedName>
    <definedName name="TableauC24">#REF!</definedName>
    <definedName name="TableauC25">#REF!</definedName>
    <definedName name="TableauC26">#REF!</definedName>
    <definedName name="TableauC27">#REF!</definedName>
    <definedName name="TableauC28">#REF!</definedName>
    <definedName name="TableauC29">#REF!</definedName>
    <definedName name="TableauC3">#REF!</definedName>
    <definedName name="TableauC30">#REF!</definedName>
    <definedName name="TableauC31">#REF!</definedName>
    <definedName name="TableauC31a">#REF!</definedName>
    <definedName name="TableauC31b">#REF!</definedName>
    <definedName name="TableauC32">#REF!</definedName>
    <definedName name="TableauC33">#REF!</definedName>
    <definedName name="TableauC34">#REF!</definedName>
    <definedName name="TableauC35">#REF!</definedName>
    <definedName name="TableauC36">#REF!</definedName>
    <definedName name="TableauC37">#REF!</definedName>
    <definedName name="TableauC38">#REF!</definedName>
    <definedName name="TableauC38a">#REF!</definedName>
    <definedName name="TableauC39">#REF!</definedName>
    <definedName name="TableauC4">#REF!</definedName>
    <definedName name="TableauC40">#REF!</definedName>
    <definedName name="tableauC400">#REF!</definedName>
    <definedName name="TableauC41">#REF!</definedName>
    <definedName name="TableauC42">#REF!</definedName>
    <definedName name="TableauC43">#REF!</definedName>
    <definedName name="TableauC44">#REF!</definedName>
    <definedName name="TableauC44a">#REF!</definedName>
    <definedName name="TableauC45">#REF!</definedName>
    <definedName name="TableauC46">#REF!</definedName>
    <definedName name="TableauC47">#REF!</definedName>
    <definedName name="TableauC48">#REF!</definedName>
    <definedName name="TableauC49">#REF!</definedName>
    <definedName name="TableauC5">#REF!</definedName>
    <definedName name="TableauC50">#REF!</definedName>
    <definedName name="TableauC51">#REF!</definedName>
    <definedName name="TableauC52">#REF!</definedName>
    <definedName name="TableauC53">#REF!</definedName>
    <definedName name="TableauC54">#REF!</definedName>
    <definedName name="TableauC55">#REF!</definedName>
    <definedName name="TableauC6">#REF!</definedName>
    <definedName name="TableauC7">#REF!</definedName>
    <definedName name="TableauC8">#REF!</definedName>
    <definedName name="TableauC9">#REF!</definedName>
    <definedName name="TableauGraphique">IF(ChoixTraçage="ENTRETIEN",1,2)</definedName>
    <definedName name="TableauH1">#REF!</definedName>
    <definedName name="TableauH10">#REF!</definedName>
    <definedName name="TableauH11">#REF!</definedName>
    <definedName name="TableauH12">#REF!</definedName>
    <definedName name="TableauH12a">#REF!</definedName>
    <definedName name="TableauH12b">#REF!</definedName>
    <definedName name="TableauH12c">#REF!</definedName>
    <definedName name="TableauH12d">#REF!</definedName>
    <definedName name="TableauH13">#REF!</definedName>
    <definedName name="TableauH14">#REF!</definedName>
    <definedName name="TableauH15">#REF!</definedName>
    <definedName name="TableauH16">#REF!</definedName>
    <definedName name="TableauH17">#REF!</definedName>
    <definedName name="TableauH18">#REF!</definedName>
    <definedName name="TableauH18a">#REF!</definedName>
    <definedName name="TableauH18b">#REF!</definedName>
    <definedName name="TableauH19">#REF!</definedName>
    <definedName name="TableauH2">#REF!</definedName>
    <definedName name="TableauH20">#REF!</definedName>
    <definedName name="TableauH20a">#REF!</definedName>
    <definedName name="TableauH20b">#REF!</definedName>
    <definedName name="TableauH21">#REF!</definedName>
    <definedName name="TableauH21a">#REF!</definedName>
    <definedName name="TableauH21b">#REF!</definedName>
    <definedName name="TableauH21c">#REF!</definedName>
    <definedName name="TableauH22">#REF!</definedName>
    <definedName name="TableauH22a">#REF!</definedName>
    <definedName name="TableauH23">#REF!</definedName>
    <definedName name="tableauH23a">#REF!</definedName>
    <definedName name="TableauH23b">#REF!</definedName>
    <definedName name="TableauH23c">#REF!</definedName>
    <definedName name="TableauH23c1">#REF!</definedName>
    <definedName name="TableauH23d">#REF!</definedName>
    <definedName name="TableauH23e">#REF!</definedName>
    <definedName name="TableauH23f">#REF!</definedName>
    <definedName name="TableauH24">#REF!</definedName>
    <definedName name="TableauH25">#REF!</definedName>
    <definedName name="TableauH26">#REF!</definedName>
    <definedName name="TableauH27">#REF!</definedName>
    <definedName name="TableauH28">#REF!</definedName>
    <definedName name="TableauH28a">#REF!</definedName>
    <definedName name="TableauH29">#REF!</definedName>
    <definedName name="TableauH2a">#REF!</definedName>
    <definedName name="TableauH2b">#REF!</definedName>
    <definedName name="TableauH3">#REF!</definedName>
    <definedName name="TableauH30">#REF!</definedName>
    <definedName name="TableauH30a">#REF!</definedName>
    <definedName name="TableauH31">#REF!</definedName>
    <definedName name="TableauH32">#REF!</definedName>
    <definedName name="TableauH33">#REF!</definedName>
    <definedName name="TableauH34">#REF!</definedName>
    <definedName name="TableauH34a">#REF!</definedName>
    <definedName name="TableauH35">#REF!</definedName>
    <definedName name="TableauH36">#REF!</definedName>
    <definedName name="TableauH37">#REF!</definedName>
    <definedName name="TableauH38">#REF!</definedName>
    <definedName name="TableauH39">#REF!</definedName>
    <definedName name="TableauH3a">#REF!</definedName>
    <definedName name="TableauH4">#REF!</definedName>
    <definedName name="TableauH40">#REF!</definedName>
    <definedName name="TableauH41">#REF!</definedName>
    <definedName name="TableauH42">#REF!</definedName>
    <definedName name="TableauH43">#REF!</definedName>
    <definedName name="TableauH44">#REF!</definedName>
    <definedName name="TableauH45">#REF!</definedName>
    <definedName name="TableauH46">#REF!</definedName>
    <definedName name="TableauH47">#REF!</definedName>
    <definedName name="TableauH48">#REF!</definedName>
    <definedName name="TableauH49">#REF!</definedName>
    <definedName name="TableauH4a">#REF!</definedName>
    <definedName name="TableauH4b">#REF!</definedName>
    <definedName name="TableauH4c">#REF!</definedName>
    <definedName name="TableauH4d">#REF!</definedName>
    <definedName name="TableauH5">#REF!</definedName>
    <definedName name="TableauH50">#REF!</definedName>
    <definedName name="TableauH51">#REF!</definedName>
    <definedName name="TableauH52">#REF!</definedName>
    <definedName name="TableauH53">#REF!</definedName>
    <definedName name="TableauH54">#REF!</definedName>
    <definedName name="TableauH5a">#REF!</definedName>
    <definedName name="TableauH6">#REF!</definedName>
    <definedName name="TableauH7">#REF!</definedName>
    <definedName name="TableauH8">#REF!</definedName>
    <definedName name="TableauH9">#REF!</definedName>
    <definedName name="Tableaux">#REF!</definedName>
    <definedName name="tea" hidden="1">{TRUE,TRUE,-1.25,-15.5,772.5,492.75,FALSE,TRUE,TRUE,TRUE,0,1,#N/A,1,#N/A,12.65,22.0869565217391,1,FALSE,FALSE,3,TRUE,1,FALSE,100,"Swvu.FC_10_Details.","ACwvu.FC_10_Details.",#N/A,FALSE,FALSE,0.78740157480315,0.78740157480315,0.590551181102362,0.393700787401575,1,"","&amp;L&amp;""Arial,Kursiv""&amp;6&amp;F / &amp;A / &amp;D",FALSE,FALSE,FALSE,FALSE,1,100,#N/A,#N/A,"=R1C1:R39C8",FALSE,#N/A,#N/A,FALSE,FALSE,FALSE,9,65532,65532,FALSE,FALSE,TRUE,TRUE,TRUE}</definedName>
    <definedName name="tea_1" hidden="1">{TRUE,TRUE,-1.25,-15.5,772.5,492.75,FALSE,TRUE,TRUE,TRUE,0,1,#N/A,1,#N/A,12.65,22.0869565217391,1,FALSE,FALSE,3,TRUE,1,FALSE,100,"Swvu.FC_10_Details.","ACwvu.FC_10_Details.",#N/A,FALSE,FALSE,0.78740157480315,0.78740157480315,0.590551181102362,0.393700787401575,1,"","&amp;L&amp;""Arial,Kursiv""&amp;6&amp;F / &amp;A / &amp;D",FALSE,FALSE,FALSE,FALSE,1,100,#N/A,#N/A,"=R1C1:R39C8",FALSE,#N/A,#N/A,FALSE,FALSE,FALSE,9,65532,65532,FALSE,FALSE,TRUE,TRUE,TRUE}</definedName>
    <definedName name="tha" hidden="1">{TRUE,TRUE,-1.25,-15.5,772.5,492.75,FALSE,TRUE,TRUE,TRUE,0,1,#N/A,1,#N/A,12.65,22.0869565217391,1,FALSE,FALSE,3,TRUE,1,FALSE,100,"Swvu.FC_10_Details.","ACwvu.FC_10_Details.",#N/A,FALSE,FALSE,0.78740157480315,0.78740157480315,0.590551181102362,0.393700787401575,1,"","&amp;L&amp;""Arial,Kursiv""&amp;6&amp;F / &amp;A / &amp;D",FALSE,FALSE,FALSE,FALSE,1,100,#N/A,#N/A,"=R1C1:R39C8",FALSE,#N/A,#N/A,FALSE,FALSE,FALSE,9,65532,65532,FALSE,FALSE,TRUE,TRUE,TRUE}</definedName>
    <definedName name="tha_1" hidden="1">{TRUE,TRUE,-1.25,-15.5,772.5,492.75,FALSE,TRUE,TRUE,TRUE,0,1,#N/A,1,#N/A,12.65,22.0869565217391,1,FALSE,FALSE,3,TRUE,1,FALSE,100,"Swvu.FC_10_Details.","ACwvu.FC_10_Details.",#N/A,FALSE,FALSE,0.78740157480315,0.78740157480315,0.590551181102362,0.393700787401575,1,"","&amp;L&amp;""Arial,Kursiv""&amp;6&amp;F / &amp;A / &amp;D",FALSE,FALSE,FALSE,FALSE,1,100,#N/A,#N/A,"=R1C1:R39C8",FALSE,#N/A,#N/A,FALSE,FALSE,FALSE,9,65532,65532,FALSE,FALSE,TRUE,TRUE,TRUE}</definedName>
    <definedName name="tm">#REF!</definedName>
    <definedName name="tm_2">#REF!</definedName>
    <definedName name="tm_3">#REF!</definedName>
    <definedName name="tm_5">#REF!</definedName>
    <definedName name="TM1REBUILDOPTION">1</definedName>
    <definedName name="tom" hidden="1">{TRUE,TRUE,-1.25,-15.5,772.5,492.75,FALSE,TRUE,TRUE,TRUE,0,1,#N/A,1,#N/A,12.65,22.0869565217391,1,FALSE,FALSE,3,TRUE,1,FALSE,100,"Swvu.FC_10_Details.","ACwvu.FC_10_Details.",#N/A,FALSE,FALSE,0.78740157480315,0.78740157480315,0.590551181102362,0.393700787401575,1,"","&amp;L&amp;""Arial,Kursiv""&amp;6&amp;F / &amp;A / &amp;D",FALSE,FALSE,FALSE,FALSE,1,100,#N/A,#N/A,"=R1C1:R39C8",FALSE,#N/A,#N/A,FALSE,FALSE,FALSE,9,65532,65532,FALSE,FALSE,TRUE,TRUE,TRUE}</definedName>
    <definedName name="tom_1" hidden="1">{TRUE,TRUE,-1.25,-15.5,772.5,492.75,FALSE,TRUE,TRUE,TRUE,0,1,#N/A,1,#N/A,12.65,22.0869565217391,1,FALSE,FALSE,3,TRUE,1,FALSE,100,"Swvu.FC_10_Details.","ACwvu.FC_10_Details.",#N/A,FALSE,FALSE,0.78740157480315,0.78740157480315,0.590551181102362,0.393700787401575,1,"","&amp;L&amp;""Arial,Kursiv""&amp;6&amp;F / &amp;A / &amp;D",FALSE,FALSE,FALSE,FALSE,1,100,#N/A,#N/A,"=R1C1:R39C8",FALSE,#N/A,#N/A,FALSE,FALSE,FALSE,9,65532,65532,FALSE,FALSE,TRUE,TRUE,TRUE}</definedName>
    <definedName name="tom_1_1" hidden="1">{TRUE,TRUE,-1.25,-15.5,772.5,492.75,FALSE,TRUE,TRUE,TRUE,0,1,#N/A,1,#N/A,12.65,22.0869565217391,1,FALSE,FALSE,3,TRUE,1,FALSE,100,"Swvu.FC_10_Details.","ACwvu.FC_10_Details.",#N/A,FALSE,FALSE,0.78740157480315,0.78740157480315,0.590551181102362,0.393700787401575,1,"","&amp;L&amp;""Arial,Kursiv""&amp;6&amp;F / &amp;A / &amp;D",FALSE,FALSE,FALSE,FALSE,1,100,#N/A,#N/A,"=R1C1:R39C8",FALSE,#N/A,#N/A,FALSE,FALSE,FALSE,9,65532,65532,FALSE,FALSE,TRUE,TRUE,TRUE}</definedName>
    <definedName name="tom_2" hidden="1">{TRUE,TRUE,-1.25,-15.5,772.5,492.75,FALSE,TRUE,TRUE,TRUE,0,1,#N/A,1,#N/A,12.65,22.0869565217391,1,FALSE,FALSE,3,TRUE,1,FALSE,100,"Swvu.FC_10_Details.","ACwvu.FC_10_Details.",#N/A,FALSE,FALSE,0.78740157480315,0.78740157480315,0.590551181102362,0.393700787401575,1,"","&amp;L&amp;""Arial,Kursiv""&amp;6&amp;F / &amp;A / &amp;D",FALSE,FALSE,FALSE,FALSE,1,100,#N/A,#N/A,"=R1C1:R39C8",FALSE,#N/A,#N/A,FALSE,FALSE,FALSE,9,65532,65532,FALSE,FALSE,TRUE,TRUE,TRUE}</definedName>
    <definedName name="tuiitk" hidden="1">{TRUE,TRUE,-1.25,-15.5,772.5,492.75,FALSE,FALSE,TRUE,TRUE,0,1,4,1,57,3,5,4,TRUE,TRUE,3,TRUE,1,TRUE,100,"Swvu.Budget_1996.","ACwvu.Budget_1996.",#N/A,FALSE,FALSE,1.08,0.25,0.590551181102362,0.393700787401575,1,"","&amp;L&amp;6&amp;F / &amp;A / &amp;D",FALSE,FALSE,FALSE,FALSE,1,100,#N/A,#N/A,FALSE,FALSE,"Rwvu.Budget_1996.",#N/A,FALSE,FALSE,FALSE,9,65532,65532,FALSE,FALSE,TRUE,TRUE,TRUE}</definedName>
    <definedName name="tuiitk_1" hidden="1">{TRUE,TRUE,-1.25,-15.5,772.5,492.75,FALSE,FALSE,TRUE,TRUE,0,1,4,1,57,3,5,4,TRUE,TRUE,3,TRUE,1,TRUE,100,"Swvu.Budget_1996.","ACwvu.Budget_1996.",#N/A,FALSE,FALSE,1.08,0.25,0.590551181102362,0.393700787401575,1,"","&amp;L&amp;6&amp;F / &amp;A / &amp;D",FALSE,FALSE,FALSE,FALSE,1,100,#N/A,#N/A,FALSE,FALSE,"Rwvu.Budget_1996.",#N/A,FALSE,FALSE,FALSE,9,65532,65532,FALSE,FALSE,TRUE,TRUE,TRUE}</definedName>
    <definedName name="tuikf" hidden="1">{TRUE,TRUE,-1.25,-15.5,772.5,492.75,FALSE,TRUE,TRUE,TRUE,0,1,#N/A,1,#N/A,12.65,22.0869565217391,1,FALSE,FALSE,3,TRUE,1,FALSE,100,"Swvu.FC_10_Details.","ACwvu.FC_10_Details.",#N/A,FALSE,FALSE,0.78740157480315,0.78740157480315,0.590551181102362,0.393700787401575,1,"","&amp;L&amp;""Arial,Kursiv""&amp;6&amp;F / &amp;A / &amp;D",FALSE,FALSE,FALSE,FALSE,1,100,#N/A,#N/A,"=R1C1:R39C8",FALSE,#N/A,#N/A,FALSE,FALSE,FALSE,9,65532,65532,FALSE,FALSE,TRUE,TRUE,TRUE}</definedName>
    <definedName name="tuikf_1" hidden="1">{TRUE,TRUE,-1.25,-15.5,772.5,492.75,FALSE,TRUE,TRUE,TRUE,0,1,#N/A,1,#N/A,12.65,22.0869565217391,1,FALSE,FALSE,3,TRUE,1,FALSE,100,"Swvu.FC_10_Details.","ACwvu.FC_10_Details.",#N/A,FALSE,FALSE,0.78740157480315,0.78740157480315,0.590551181102362,0.393700787401575,1,"","&amp;L&amp;""Arial,Kursiv""&amp;6&amp;F / &amp;A / &amp;D",FALSE,FALSE,FALSE,FALSE,1,100,#N/A,#N/A,"=R1C1:R39C8",FALSE,#N/A,#N/A,FALSE,FALSE,FALSE,9,65532,65532,FALSE,FALSE,TRUE,TRUE,TRUE}</definedName>
    <definedName name="tukl" hidden="1">{TRUE,TRUE,-1.25,-15.5,772.5,492.75,FALSE,FALSE,TRUE,TRUE,0,1,4,1,57,3,5,4,TRUE,TRUE,3,TRUE,1,TRUE,100,"Swvu.Budget_1997.","ACwvu.Budget_1997.",#N/A,FALSE,FALSE,1.08,0.25,0.590551181102362,0.393700787401575,1,"","&amp;L&amp;6&amp;F / &amp;A / &amp;D",FALSE,FALSE,FALSE,FALSE,1,100,#N/A,#N/A,FALSE,FALSE,"Rwvu.Budget_1997.",#N/A,FALSE,FALSE,FALSE,9,65532,65532,FALSE,FALSE,TRUE,TRUE,TRUE}</definedName>
    <definedName name="tukl_1" hidden="1">{TRUE,TRUE,-1.25,-15.5,772.5,492.75,FALSE,FALSE,TRUE,TRUE,0,1,4,1,57,3,5,4,TRUE,TRUE,3,TRUE,1,TRUE,100,"Swvu.Budget_1997.","ACwvu.Budget_1997.",#N/A,FALSE,FALSE,1.08,0.25,0.590551181102362,0.393700787401575,1,"","&amp;L&amp;6&amp;F / &amp;A / &amp;D",FALSE,FALSE,FALSE,FALSE,1,100,#N/A,#N/A,FALSE,FALSE,"Rwvu.Budget_1997.",#N/A,FALSE,FALSE,FALSE,9,65532,65532,FALSE,FALSE,TRUE,TRUE,TRUE}</definedName>
    <definedName name="tulf" hidden="1">{TRUE,TRUE,-1.25,-15.5,772.5,492.75,FALSE,TRUE,TRUE,TRUE,0,1,#N/A,1,#N/A,12.7125,22.0869565217391,1,FALSE,FALSE,3,TRUE,1,FALSE,100,"Swvu.Ergebnisüberleitung.","ACwvu.Ergebnisüberleitung.",#N/A,FALSE,FALSE,0.78740157480315,0.78740157480315,0.590551181102362,0.393700787401575,1,"","&amp;L&amp;""Arial,Kursiv""&amp;6&amp;F / &amp;A / &amp;D",FALSE,FALSE,FALSE,FALSE,1,100,#N/A,#N/A,"=R1C1:R39C8",FALSE,"Rwvu.Ergebnisüberleitung.",#N/A,FALSE,FALSE,TRUE,9,65532,65532,FALSE,FALSE,TRUE,TRUE,TRUE}</definedName>
    <definedName name="tulf_1" hidden="1">{TRUE,TRUE,-1.25,-15.5,772.5,492.75,FALSE,TRUE,TRUE,TRUE,0,1,#N/A,1,#N/A,12.7125,22.0869565217391,1,FALSE,FALSE,3,TRUE,1,FALSE,100,"Swvu.Ergebnisüberleitung.","ACwvu.Ergebnisüberleitung.",#N/A,FALSE,FALSE,0.78740157480315,0.78740157480315,0.590551181102362,0.393700787401575,1,"","&amp;L&amp;""Arial,Kursiv""&amp;6&amp;F / &amp;A / &amp;D",FALSE,FALSE,FALSE,FALSE,1,100,#N/A,#N/A,"=R1C1:R39C8",FALSE,"Rwvu.Ergebnisüberleitung.",#N/A,FALSE,FALSE,TRUE,9,65532,65532,FALSE,FALSE,TRUE,TRUE,TRUE}</definedName>
    <definedName name="tuuikt" hidden="1">{TRUE,TRUE,-1.25,-15.5,772.5,492.75,FALSE,FALSE,TRUE,TRUE,0,1,4,1,57,3,5,4,TRUE,TRUE,3,TRUE,1,TRUE,100,"Swvu.Budget_1997.","ACwvu.Budget_1997.",#N/A,FALSE,FALSE,1.08,0.25,0.590551181102362,0.393700787401575,1,"","&amp;L&amp;6&amp;F / &amp;A / &amp;D",FALSE,FALSE,FALSE,FALSE,1,100,#N/A,#N/A,FALSE,FALSE,"Rwvu.Budget_1997.",#N/A,FALSE,FALSE,FALSE,9,65532,65532,FALSE,FALSE,TRUE,TRUE,TRUE}</definedName>
    <definedName name="tuuikt_1" hidden="1">{TRUE,TRUE,-1.25,-15.5,772.5,492.75,FALSE,FALSE,TRUE,TRUE,0,1,4,1,57,3,5,4,TRUE,TRUE,3,TRUE,1,TRUE,100,"Swvu.Budget_1997.","ACwvu.Budget_1997.",#N/A,FALSE,FALSE,1.08,0.25,0.590551181102362,0.393700787401575,1,"","&amp;L&amp;6&amp;F / &amp;A / &amp;D",FALSE,FALSE,FALSE,FALSE,1,100,#N/A,#N/A,FALSE,FALSE,"Rwvu.Budget_1997.",#N/A,FALSE,FALSE,FALSE,9,65532,65532,FALSE,FALSE,TRUE,TRUE,TRUE}</definedName>
    <definedName name="tuuuuui" hidden="1">{TRUE,TRUE,-1.25,-15.5,772.5,492.75,FALSE,FALSE,TRUE,TRUE,0,1,4,1,57,3,5,4,TRUE,TRUE,3,TRUE,1,TRUE,100,"Swvu.Budget_1997.","ACwvu.Budget_1997.",#N/A,FALSE,FALSE,1.08,0.25,0.590551181102362,0.393700787401575,1,"","&amp;L&amp;6&amp;F / &amp;A / &amp;D",FALSE,FALSE,FALSE,FALSE,1,100,#N/A,#N/A,FALSE,FALSE,"Rwvu.Budget_1997.",#N/A,FALSE,FALSE,FALSE,9,65532,65532,FALSE,FALSE,TRUE,TRUE,TRUE}</definedName>
    <definedName name="tuuuuui_1" hidden="1">{TRUE,TRUE,-1.25,-15.5,772.5,492.75,FALSE,FALSE,TRUE,TRUE,0,1,4,1,57,3,5,4,TRUE,TRUE,3,TRUE,1,TRUE,100,"Swvu.Budget_1997.","ACwvu.Budget_1997.",#N/A,FALSE,FALSE,1.08,0.25,0.590551181102362,0.393700787401575,1,"","&amp;L&amp;6&amp;F / &amp;A / &amp;D",FALSE,FALSE,FALSE,FALSE,1,100,#N/A,#N/A,FALSE,FALSE,"Rwvu.Budget_1997.",#N/A,FALSE,FALSE,FALSE,9,65532,65532,FALSE,FALSE,TRUE,TRUE,TRUE}</definedName>
    <definedName name="ugö" hidden="1">{TRUE,TRUE,-1.25,-15.5,772.5,492.75,FALSE,FALSE,TRUE,TRUE,0,1,4,1,57,3,5,4,TRUE,TRUE,3,TRUE,1,TRUE,100,"Swvu.Budget_1997.","ACwvu.Budget_1997.",#N/A,FALSE,FALSE,1.08,0.25,0.590551181102362,0.393700787401575,1,"","&amp;L&amp;6&amp;F / &amp;A / &amp;D",FALSE,FALSE,FALSE,FALSE,1,100,#N/A,#N/A,FALSE,FALSE,"Rwvu.Budget_1997.",#N/A,FALSE,FALSE,FALSE,9,65532,65532,FALSE,FALSE,TRUE,TRUE,TRUE}</definedName>
    <definedName name="ugö_1" hidden="1">{TRUE,TRUE,-1.25,-15.5,772.5,492.75,FALSE,FALSE,TRUE,TRUE,0,1,4,1,57,3,5,4,TRUE,TRUE,3,TRUE,1,TRUE,100,"Swvu.Budget_1997.","ACwvu.Budget_1997.",#N/A,FALSE,FALSE,1.08,0.25,0.590551181102362,0.393700787401575,1,"","&amp;L&amp;6&amp;F / &amp;A / &amp;D",FALSE,FALSE,FALSE,FALSE,1,100,#N/A,#N/A,FALSE,FALSE,"Rwvu.Budget_1997.",#N/A,FALSE,FALSE,FALSE,9,65532,65532,FALSE,FALSE,TRUE,TRUE,TRUE}</definedName>
    <definedName name="uoip" hidden="1">{TRUE,TRUE,-1.25,-15.5,772.5,492.75,FALSE,FALSE,TRUE,TRUE,0,1,4,1,57,3,5,4,TRUE,TRUE,3,TRUE,1,TRUE,100,"Swvu.Budget_1997.","ACwvu.Budget_1997.",#N/A,FALSE,FALSE,1.08,0.25,0.590551181102362,0.393700787401575,1,"","&amp;L&amp;6&amp;F / &amp;A / &amp;D",FALSE,FALSE,FALSE,FALSE,1,100,#N/A,#N/A,FALSE,FALSE,"Rwvu.Budget_1997.",#N/A,FALSE,FALSE,FALSE,9,65532,65532,FALSE,FALSE,TRUE,TRUE,TRUE}</definedName>
    <definedName name="uoip_1" hidden="1">{TRUE,TRUE,-1.25,-15.5,772.5,492.75,FALSE,FALSE,TRUE,TRUE,0,1,4,1,57,3,5,4,TRUE,TRUE,3,TRUE,1,TRUE,100,"Swvu.Budget_1997.","ACwvu.Budget_1997.",#N/A,FALSE,FALSE,1.08,0.25,0.590551181102362,0.393700787401575,1,"","&amp;L&amp;6&amp;F / &amp;A / &amp;D",FALSE,FALSE,FALSE,FALSE,1,100,#N/A,#N/A,FALSE,FALSE,"Rwvu.Budget_1997.",#N/A,FALSE,FALSE,FALSE,9,65532,65532,FALSE,FALSE,TRUE,TRUE,TRUE}</definedName>
    <definedName name="uoö" hidden="1">{TRUE,TRUE,-1.25,-15.5,772.5,492.75,FALSE,FALSE,TRUE,TRUE,0,1,4,1,57,3,5,4,TRUE,TRUE,3,TRUE,1,TRUE,100,"Swvu.Budget_1996.","ACwvu.Budget_1996.",#N/A,FALSE,FALSE,1.08,0.25,0.590551181102362,0.393700787401575,1,"","&amp;L&amp;6&amp;F / &amp;A / &amp;D",FALSE,FALSE,FALSE,FALSE,1,100,#N/A,#N/A,FALSE,FALSE,"Rwvu.Budget_1996.",#N/A,FALSE,FALSE,FALSE,9,65532,65532,FALSE,FALSE,TRUE,TRUE,TRUE}</definedName>
    <definedName name="uoö_1" hidden="1">{TRUE,TRUE,-1.25,-15.5,772.5,492.75,FALSE,FALSE,TRUE,TRUE,0,1,4,1,57,3,5,4,TRUE,TRUE,3,TRUE,1,TRUE,100,"Swvu.Budget_1996.","ACwvu.Budget_1996.",#N/A,FALSE,FALSE,1.08,0.25,0.590551181102362,0.393700787401575,1,"","&amp;L&amp;6&amp;F / &amp;A / &amp;D",FALSE,FALSE,FALSE,FALSE,1,100,#N/A,#N/A,FALSE,FALSE,"Rwvu.Budget_1996.",#N/A,FALSE,FALSE,FALSE,9,65532,65532,FALSE,FALSE,TRUE,TRUE,TRUE}</definedName>
    <definedName name="uoög" hidden="1">Main.SAPF4Help()</definedName>
    <definedName name="uöoö" hidden="1">{TRUE,TRUE,-1.25,-15.5,772.5,492.75,FALSE,TRUE,TRUE,TRUE,0,1,#N/A,1,#N/A,12.7125,22.0869565217391,1,FALSE,FALSE,3,TRUE,1,FALSE,100,"Swvu.Ergebnisüberleitung.","ACwvu.Ergebnisüberleitung.",#N/A,FALSE,FALSE,0.78740157480315,0.78740157480315,0.590551181102362,0.393700787401575,1,"","&amp;L&amp;""Arial,Kursiv""&amp;6&amp;F / &amp;A / &amp;D",FALSE,FALSE,FALSE,FALSE,1,100,#N/A,#N/A,"=R1C1:R39C8",FALSE,"Rwvu.Ergebnisüberleitung.",#N/A,FALSE,FALSE,TRUE,9,65532,65532,FALSE,FALSE,TRUE,TRUE,TRUE}</definedName>
    <definedName name="uöoö_1" hidden="1">{TRUE,TRUE,-1.25,-15.5,772.5,492.75,FALSE,TRUE,TRUE,TRUE,0,1,#N/A,1,#N/A,12.7125,22.0869565217391,1,FALSE,FALSE,3,TRUE,1,FALSE,100,"Swvu.Ergebnisüberleitung.","ACwvu.Ergebnisüberleitung.",#N/A,FALSE,FALSE,0.78740157480315,0.78740157480315,0.590551181102362,0.393700787401575,1,"","&amp;L&amp;""Arial,Kursiv""&amp;6&amp;F / &amp;A / &amp;D",FALSE,FALSE,FALSE,FALSE,1,100,#N/A,#N/A,"=R1C1:R39C8",FALSE,"Rwvu.Ergebnisüberleitung.",#N/A,FALSE,FALSE,TRUE,9,65532,65532,FALSE,FALSE,TRUE,TRUE,TRUE}</definedName>
    <definedName name="uoööo" hidden="1">{TRUE,TRUE,-1.25,-15.5,772.5,492.75,FALSE,FALSE,TRUE,TRUE,0,1,4,1,57,3,5,4,TRUE,TRUE,3,TRUE,1,TRUE,100,"Swvu.Alles.","ACwvu.Alles.",#N/A,FALSE,FALSE,1.08,0.25,0.590551181102362,0.393700787401575,1,"","&amp;L&amp;6&amp;F / &amp;A / &amp;D",FALSE,FALSE,FALSE,FALSE,1,100,#N/A,#N/A,FALSE,FALSE,#N/A,#N/A,FALSE,FALSE,FALSE,9,65532,65532,FALSE,FALSE,TRUE,TRUE,TRUE}</definedName>
    <definedName name="uoööo_1" hidden="1">{TRUE,TRUE,-1.25,-15.5,772.5,492.75,FALSE,FALSE,TRUE,TRUE,0,1,4,1,57,3,5,4,TRUE,TRUE,3,TRUE,1,TRUE,100,"Swvu.Alles.","ACwvu.Alles.",#N/A,FALSE,FALSE,1.08,0.25,0.590551181102362,0.393700787401575,1,"","&amp;L&amp;6&amp;F / &amp;A / &amp;D",FALSE,FALSE,FALSE,FALSE,1,100,#N/A,#N/A,FALSE,FALSE,#N/A,#N/A,FALSE,FALSE,FALSE,9,65532,65532,FALSE,FALSE,TRUE,TRUE,TRUE}</definedName>
    <definedName name="uzlzf" hidden="1">{TRUE,TRUE,-1.25,-15.5,772.5,492.75,FALSE,TRUE,TRUE,TRUE,0,1,#N/A,1,#N/A,12.65,22.0869565217391,1,FALSE,FALSE,3,TRUE,1,FALSE,100,"Swvu.FC_10_Details.","ACwvu.FC_10_Details.",#N/A,FALSE,FALSE,0.78740157480315,0.78740157480315,0.590551181102362,0.393700787401575,1,"","&amp;L&amp;""Arial,Kursiv""&amp;6&amp;F / &amp;A / &amp;D",FALSE,FALSE,FALSE,FALSE,1,100,#N/A,#N/A,"=R1C1:R39C8",FALSE,#N/A,#N/A,FALSE,FALSE,FALSE,9,65532,65532,FALSE,FALSE,TRUE,TRUE,TRUE}</definedName>
    <definedName name="uzlzf_1" hidden="1">{TRUE,TRUE,-1.25,-15.5,772.5,492.75,FALSE,TRUE,TRUE,TRUE,0,1,#N/A,1,#N/A,12.65,22.0869565217391,1,FALSE,FALSE,3,TRUE,1,FALSE,100,"Swvu.FC_10_Details.","ACwvu.FC_10_Details.",#N/A,FALSE,FALSE,0.78740157480315,0.78740157480315,0.590551181102362,0.393700787401575,1,"","&amp;L&amp;""Arial,Kursiv""&amp;6&amp;F / &amp;A / &amp;D",FALSE,FALSE,FALSE,FALSE,1,100,#N/A,#N/A,"=R1C1:R39C8",FALSE,#N/A,#N/A,FALSE,FALSE,FALSE,9,65532,65532,FALSE,FALSE,TRUE,TRUE,TRUE}</definedName>
    <definedName name="v" hidden="1">{TRUE,TRUE,-1.25,-15.5,772.5,492.75,FALSE,FALSE,TRUE,TRUE,0,1,4,1,57,3,5,4,TRUE,TRUE,3,TRUE,1,TRUE,100,"Swvu.Budget_1996.","ACwvu.Budget_1996.",#N/A,FALSE,FALSE,1.08,0.25,0.590551181102362,0.393700787401575,1,"","&amp;L&amp;6&amp;F / &amp;A / &amp;D",FALSE,FALSE,FALSE,FALSE,1,100,#N/A,#N/A,FALSE,FALSE,"Rwvu.Budget_1996.",#N/A,FALSE,FALSE,FALSE,9,65532,65532,FALSE,FALSE,TRUE,TRUE,TRUE}</definedName>
    <definedName name="v_1" hidden="1">{TRUE,TRUE,-1.25,-15.5,772.5,492.75,FALSE,FALSE,TRUE,TRUE,0,1,4,1,57,3,5,4,TRUE,TRUE,3,TRUE,1,TRUE,100,"Swvu.Budget_1996.","ACwvu.Budget_1996.",#N/A,FALSE,FALSE,1.08,0.25,0.590551181102362,0.393700787401575,1,"","&amp;L&amp;6&amp;F / &amp;A / &amp;D",FALSE,FALSE,FALSE,FALSE,1,100,#N/A,#N/A,FALSE,FALSE,"Rwvu.Budget_1996.",#N/A,FALSE,FALSE,FALSE,9,65532,65532,FALSE,FALSE,TRUE,TRUE,TRUE}</definedName>
    <definedName name="ValeursGraphique">CHOOSE(TableauGraphique,#REF!,#REF!)</definedName>
    <definedName name="volbrut">#REF!</definedName>
    <definedName name="volbrut_2">#REF!</definedName>
    <definedName name="volbrut_3">#REF!</definedName>
    <definedName name="volbrut_5">#REF!</definedName>
    <definedName name="w" hidden="1">{#N/A,#N/A,FALSE,"bel";#N/A,#N/A,FALSE,"neth"}</definedName>
    <definedName name="w_" hidden="1">{#N/A,#N/A,FALSE,"bel";#N/A,#N/A,FALSE,"neth"}</definedName>
    <definedName name="w__1" hidden="1">{#N/A,#N/A,FALSE,"bel";#N/A,#N/A,FALSE,"neth"}</definedName>
    <definedName name="w_1" hidden="1">{#N/A,#N/A,FALSE,"bel";#N/A,#N/A,FALSE,"neth"}</definedName>
    <definedName name="wer" hidden="1">{TRUE,TRUE,-1.25,-15.5,772.5,492.75,FALSE,TRUE,TRUE,TRUE,0,1,#N/A,1,#N/A,12.65,22.0869565217391,1,FALSE,FALSE,3,TRUE,1,FALSE,100,"Swvu.FC_10_Details.","ACwvu.FC_10_Details.",#N/A,FALSE,FALSE,0.78740157480315,0.78740157480315,0.590551181102362,0.393700787401575,1,"","&amp;L&amp;""Arial,Kursiv""&amp;6&amp;F / &amp;A / &amp;D",FALSE,FALSE,FALSE,FALSE,1,100,#N/A,#N/A,"=R1C1:R39C8",FALSE,#N/A,#N/A,FALSE,FALSE,FALSE,9,65532,65532,FALSE,FALSE,TRUE,TRUE,TRUE}</definedName>
    <definedName name="wer_1" hidden="1">{TRUE,TRUE,-1.25,-15.5,772.5,492.75,FALSE,TRUE,TRUE,TRUE,0,1,#N/A,1,#N/A,12.65,22.0869565217391,1,FALSE,FALSE,3,TRUE,1,FALSE,100,"Swvu.FC_10_Details.","ACwvu.FC_10_Details.",#N/A,FALSE,FALSE,0.78740157480315,0.78740157480315,0.590551181102362,0.393700787401575,1,"","&amp;L&amp;""Arial,Kursiv""&amp;6&amp;F / &amp;A / &amp;D",FALSE,FALSE,FALSE,FALSE,1,100,#N/A,#N/A,"=R1C1:R39C8",FALSE,#N/A,#N/A,FALSE,FALSE,FALSE,9,65532,65532,FALSE,FALSE,TRUE,TRUE,TRUE}</definedName>
    <definedName name="wer_1_1" hidden="1">{TRUE,TRUE,-1.25,-15.5,772.5,492.75,FALSE,TRUE,TRUE,TRUE,0,1,#N/A,1,#N/A,12.65,22.0869565217391,1,FALSE,FALSE,3,TRUE,1,FALSE,100,"Swvu.FC_10_Details.","ACwvu.FC_10_Details.",#N/A,FALSE,FALSE,0.78740157480315,0.78740157480315,0.590551181102362,0.393700787401575,1,"","&amp;L&amp;""Arial,Kursiv""&amp;6&amp;F / &amp;A / &amp;D",FALSE,FALSE,FALSE,FALSE,1,100,#N/A,#N/A,"=R1C1:R39C8",FALSE,#N/A,#N/A,FALSE,FALSE,FALSE,9,65532,65532,FALSE,FALSE,TRUE,TRUE,TRUE}</definedName>
    <definedName name="wer_2" hidden="1">{TRUE,TRUE,-1.25,-15.5,772.5,492.75,FALSE,TRUE,TRUE,TRUE,0,1,#N/A,1,#N/A,12.65,22.0869565217391,1,FALSE,FALSE,3,TRUE,1,FALSE,100,"Swvu.FC_10_Details.","ACwvu.FC_10_Details.",#N/A,FALSE,FALSE,0.78740157480315,0.78740157480315,0.590551181102362,0.393700787401575,1,"","&amp;L&amp;""Arial,Kursiv""&amp;6&amp;F / &amp;A / &amp;D",FALSE,FALSE,FALSE,FALSE,1,100,#N/A,#N/A,"=R1C1:R39C8",FALSE,#N/A,#N/A,FALSE,FALSE,FALSE,9,65532,65532,FALSE,FALSE,TRUE,TRUE,TRUE}</definedName>
    <definedName name="werre" hidden="1">{#N/A,#N/A,FALSE,"Report-Generator";#N/A,#N/A,FALSE,"S.1 Zusammenfassung";#N/A,#N/A,FALSE,"S.2 Modellrendite";#N/A,#N/A,FALSE,"S.3a Absatzvolumen";#N/A,#N/A,FALSE,"S.3b Absatzvolumen";#N/A,#N/A,FALSE,"S.3c Absatzvolumen";#N/A,#N/A,FALSE,"S.4 Volumen, Mix";#N/A,#N/A,FALSE,"S.5 Produktaufwand";#N/A,#N/A,FALSE,"S.6 Prop. Herstellkosten";#N/A,#N/A,FALSE,"S.7 DB-Vergleich";#N/A,#N/A,FALSE,"S.8 DB-Vergleich";#N/A,#N/A,FALSE,"S.9 DB-Vergleich";#N/A,#N/A,FALSE,"S.10 MR-Berechnung"}</definedName>
    <definedName name="werre_1" hidden="1">{#N/A,#N/A,FALSE,"Report-Generator";#N/A,#N/A,FALSE,"S.1 Zusammenfassung";#N/A,#N/A,FALSE,"S.2 Modellrendite";#N/A,#N/A,FALSE,"S.3a Absatzvolumen";#N/A,#N/A,FALSE,"S.3b Absatzvolumen";#N/A,#N/A,FALSE,"S.3c Absatzvolumen";#N/A,#N/A,FALSE,"S.4 Volumen, Mix";#N/A,#N/A,FALSE,"S.5 Produktaufwand";#N/A,#N/A,FALSE,"S.6 Prop. Herstellkosten";#N/A,#N/A,FALSE,"S.7 DB-Vergleich";#N/A,#N/A,FALSE,"S.8 DB-Vergleich";#N/A,#N/A,FALSE,"S.9 DB-Vergleich";#N/A,#N/A,FALSE,"S.10 MR-Berechnung"}</definedName>
    <definedName name="wetwaert" hidden="1">{TRUE,TRUE,-1.25,-15.5,772.5,492.75,FALSE,FALSE,TRUE,TRUE,0,1,4,1,57,3,5,4,TRUE,TRUE,3,TRUE,1,TRUE,100,"Swvu.Budget_1996.","ACwvu.Budget_1996.",#N/A,FALSE,FALSE,1.08,0.25,0.590551181102362,0.393700787401575,1,"","&amp;L&amp;6&amp;F / &amp;A / &amp;D",FALSE,FALSE,FALSE,FALSE,1,100,#N/A,#N/A,FALSE,FALSE,"Rwvu.Budget_1996.",#N/A,FALSE,FALSE,FALSE,9,65532,65532,FALSE,FALSE,TRUE,TRUE,TRUE}</definedName>
    <definedName name="wetwaert_1" hidden="1">{TRUE,TRUE,-1.25,-15.5,772.5,492.75,FALSE,FALSE,TRUE,TRUE,0,1,4,1,57,3,5,4,TRUE,TRUE,3,TRUE,1,TRUE,100,"Swvu.Budget_1996.","ACwvu.Budget_1996.",#N/A,FALSE,FALSE,1.08,0.25,0.590551181102362,0.393700787401575,1,"","&amp;L&amp;6&amp;F / &amp;A / &amp;D",FALSE,FALSE,FALSE,FALSE,1,100,#N/A,#N/A,FALSE,FALSE,"Rwvu.Budget_1996.",#N/A,FALSE,FALSE,FALSE,9,65532,65532,FALSE,FALSE,TRUE,TRUE,TRUE}</definedName>
    <definedName name="wr" hidden="1">{#N/A,#N/A,FALSE,"Z3 1,8i";#N/A,#N/A,FALSE,"Z3 1,9iS";#N/A,#N/A,FALSE,"Z3 2,8i";#N/A,#N/A,FALSE,"Z3 2,8i Coupé"}</definedName>
    <definedName name="wr_1" hidden="1">{#N/A,#N/A,FALSE,"Z3 1,8i";#N/A,#N/A,FALSE,"Z3 1,9iS";#N/A,#N/A,FALSE,"Z3 2,8i";#N/A,#N/A,FALSE,"Z3 2,8i Coupé"}</definedName>
    <definedName name="wrn.Gesamt." hidden="1">{#N/A,#N/A,FALSE,"Bl. 1";#N/A,#N/A,FALSE,"Bl. 2";#N/A,#N/A,FALSE,"Bl. 3";#N/A,#N/A,FALSE,"Bl. 4";#N/A,#N/A,FALSE,"Bl. 6";#N/A,#N/A,FALSE,"Bl. 7";#N/A,#N/A,FALSE,"BL. 8";#N/A,#N/A,FALSE,"Bl. 9";#N/A,#N/A,FALSE,"Bl. 10";#N/A,#N/A,FALSE,"Bl. 12"}</definedName>
    <definedName name="wrn.Gesamt._1" hidden="1">{#N/A,#N/A,FALSE,"Bl. 1";#N/A,#N/A,FALSE,"Bl. 2";#N/A,#N/A,FALSE,"Bl. 3";#N/A,#N/A,FALSE,"Bl. 4";#N/A,#N/A,FALSE,"Bl. 6";#N/A,#N/A,FALSE,"Bl. 7";#N/A,#N/A,FALSE,"BL. 8";#N/A,#N/A,FALSE,"Bl. 9";#N/A,#N/A,FALSE,"Bl. 10";#N/A,#N/A,FALSE,"Bl. 12"}</definedName>
    <definedName name="wrn.Gesamt2" hidden="1">{#N/A,#N/A,FALSE,"Bl. 1";#N/A,#N/A,FALSE,"Bl. 2";#N/A,#N/A,FALSE,"Bl. 3";#N/A,#N/A,FALSE,"Bl. 4";#N/A,#N/A,FALSE,"Bl. 6";#N/A,#N/A,FALSE,"Bl. 7";#N/A,#N/A,FALSE,"BL. 8";#N/A,#N/A,FALSE,"Bl. 9";#N/A,#N/A,FALSE,"Bl. 10";#N/A,#N/A,FALSE,"Bl. 12"}</definedName>
    <definedName name="wrn.Gesamt2_1" hidden="1">{#N/A,#N/A,FALSE,"Bl. 1";#N/A,#N/A,FALSE,"Bl. 2";#N/A,#N/A,FALSE,"Bl. 3";#N/A,#N/A,FALSE,"Bl. 4";#N/A,#N/A,FALSE,"Bl. 6";#N/A,#N/A,FALSE,"Bl. 7";#N/A,#N/A,FALSE,"BL. 8";#N/A,#N/A,FALSE,"Bl. 9";#N/A,#N/A,FALSE,"Bl. 10";#N/A,#N/A,FALSE,"Bl. 12"}</definedName>
    <definedName name="wrn.LUP._.04._.Vertrieb." hidden="1">{#N/A,#N/A,FALSE,"V3 Stab-Geb Index";#N/A,#N/A,FALSE,"Vertrieb";#N/A,#N/A,FALSE,"V Daten";#N/A,#N/A,FALSE,"V-Z-Index";#N/A,#N/A,FALSE,"V-1 Daten";#N/A,#N/A,FALSE,"V-1 Index";#N/A,#N/A,FALSE,"V-2 Index";#N/A,#N/A,FALSE,"V-3 Daten";#N/A,#N/A,FALSE,"V3 Stab-Geb Index";#N/A,#N/A,FALSE,"V-3 VG's Index";#N/A,#N/A,FALSE,"V-4 Index";#N/A,#N/A,FALSE,"V-5 Index"}</definedName>
    <definedName name="wrn.LUP._.04._.Vertrieb._1" hidden="1">{#N/A,#N/A,FALSE,"V3 Stab-Geb Index";#N/A,#N/A,FALSE,"Vertrieb";#N/A,#N/A,FALSE,"V Daten";#N/A,#N/A,FALSE,"V-Z-Index";#N/A,#N/A,FALSE,"V-1 Daten";#N/A,#N/A,FALSE,"V-1 Index";#N/A,#N/A,FALSE,"V-2 Index";#N/A,#N/A,FALSE,"V-3 Daten";#N/A,#N/A,FALSE,"V3 Stab-Geb Index";#N/A,#N/A,FALSE,"V-3 VG's Index";#N/A,#N/A,FALSE,"V-4 Index";#N/A,#N/A,FALSE,"V-5 Index"}</definedName>
    <definedName name="wrn.Mappen._.gesamt." hidden="1">{#N/A,#N/A,FALSE,"Z3 1,8i";#N/A,#N/A,FALSE,"Z3 1,9iS";#N/A,#N/A,FALSE,"Z3 2,8i";#N/A,#N/A,FALSE,"Z3 2,8i Coupé"}</definedName>
    <definedName name="wrn.Mappen._.gesamt._1" hidden="1">{#N/A,#N/A,FALSE,"Z3 1,8i";#N/A,#N/A,FALSE,"Z3 1,9iS";#N/A,#N/A,FALSE,"Z3 2,8i";#N/A,#N/A,FALSE,"Z3 2,8i Coupé"}</definedName>
    <definedName name="wrn.Report._.english." hidden="1">{#N/A,#N/A,FALSE,"Report-Generator";#N/A,#N/A,FALSE,"Page 1 Summary";#N/A,#N/A,FALSE,"Page 2 IRR";#N/A,#N/A,FALSE,"Page 3a Volume Profile";#N/A,#N/A,FALSE,"Page 3b Volume Profile";#N/A,#N/A,FALSE,"Page 3c Volume Profile";#N/A,#N/A,FALSE,"Page 4 Volume Profile, Mix";#N/A,#N/A,FALSE,"Page 5 Product Investment";#N/A,#N/A,FALSE,"Page 6 Variable Costs";#N/A,#N/A,FALSE,"Page 7 Contribution Comparison1";#N/A,#N/A,FALSE,"Page 8 Contribution Comparison2";#N/A,#N/A,FALSE,"Page 9 Contribution Comparison3";#N/A,#N/A,FALSE,"Page 10 IRR Calculation"}</definedName>
    <definedName name="wrn.Report._.english._1" hidden="1">{#N/A,#N/A,FALSE,"Report-Generator";#N/A,#N/A,FALSE,"Page 1 Summary";#N/A,#N/A,FALSE,"Page 2 IRR";#N/A,#N/A,FALSE,"Page 3a Volume Profile";#N/A,#N/A,FALSE,"Page 3b Volume Profile";#N/A,#N/A,FALSE,"Page 3c Volume Profile";#N/A,#N/A,FALSE,"Page 4 Volume Profile, Mix";#N/A,#N/A,FALSE,"Page 5 Product Investment";#N/A,#N/A,FALSE,"Page 6 Variable Costs";#N/A,#N/A,FALSE,"Page 7 Contribution Comparison1";#N/A,#N/A,FALSE,"Page 8 Contribution Comparison2";#N/A,#N/A,FALSE,"Page 9 Contribution Comparison3";#N/A,#N/A,FALSE,"Page 10 IRR Calculation"}</definedName>
    <definedName name="wrn.Statusbericht._.deutsch." hidden="1">{#N/A,#N/A,FALSE,"Report-Generator";#N/A,#N/A,FALSE,"S.1 Zusammenfassung";#N/A,#N/A,FALSE,"S.2 Modellrendite";#N/A,#N/A,FALSE,"S.3a Absatzvolumen";#N/A,#N/A,FALSE,"S.3b Absatzvolumen";#N/A,#N/A,FALSE,"S.3c Absatzvolumen";#N/A,#N/A,FALSE,"S.4 Volumen, Mix";#N/A,#N/A,FALSE,"S.5 Produktaufwand";#N/A,#N/A,FALSE,"S.6 Prop. Herstellkosten";#N/A,#N/A,FALSE,"S.7 DB-Vergleich";#N/A,#N/A,FALSE,"S.8 DB-Vergleich";#N/A,#N/A,FALSE,"S.9 DB-Vergleich";#N/A,#N/A,FALSE,"S.10 MR-Berechnung"}</definedName>
    <definedName name="wrn.Statusbericht._.deutsch._1" hidden="1">{#N/A,#N/A,FALSE,"Report-Generator";#N/A,#N/A,FALSE,"S.1 Zusammenfassung";#N/A,#N/A,FALSE,"S.2 Modellrendite";#N/A,#N/A,FALSE,"S.3a Absatzvolumen";#N/A,#N/A,FALSE,"S.3b Absatzvolumen";#N/A,#N/A,FALSE,"S.3c Absatzvolumen";#N/A,#N/A,FALSE,"S.4 Volumen, Mix";#N/A,#N/A,FALSE,"S.5 Produktaufwand";#N/A,#N/A,FALSE,"S.6 Prop. Herstellkosten";#N/A,#N/A,FALSE,"S.7 DB-Vergleich";#N/A,#N/A,FALSE,"S.8 DB-Vergleich";#N/A,#N/A,FALSE,"S.9 DB-Vergleich";#N/A,#N/A,FALSE,"S.10 MR-Berechnung"}</definedName>
    <definedName name="wrn.summary." hidden="1">{#N/A,#N/A,FALSE,"bel";#N/A,#N/A,FALSE,"neth"}</definedName>
    <definedName name="wrn.summary._1" hidden="1">{#N/A,#N/A,FALSE,"bel";#N/A,#N/A,FALSE,"neth"}</definedName>
    <definedName name="wrn.test1." hidden="1">{"atest",#N/A,FALSE,"Tabelle1";#N/A,#N/A,FALSE,"Tabelle2"}</definedName>
    <definedName name="wrn.test1._1" hidden="1">{"atest",#N/A,FALSE,"Tabelle1";#N/A,#N/A,FALSE,"Tabelle2"}</definedName>
    <definedName name="wvu.Alle" hidden="1">{TRUE,TRUE,-1.25,-15.5,772.5,492.75,FALSE,FALSE,TRUE,TRUE,0,1,4,1,57,3,5,4,TRUE,TRUE,3,TRUE,1,TRUE,100,"Swvu.Alles.","ACwvu.Alles.",#N/A,FALSE,FALSE,1.08,0.25,0.590551181102362,0.393700787401575,1,"","&amp;L&amp;6&amp;F / &amp;A / &amp;D",FALSE,FALSE,FALSE,FALSE,1,100,#N/A,#N/A,FALSE,FALSE,#N/A,#N/A,FALSE,FALSE,FALSE,9,65532,65532,FALSE,FALSE,TRUE,TRUE,TRUE}</definedName>
    <definedName name="wvu.Alle_1" hidden="1">{TRUE,TRUE,-1.25,-15.5,772.5,492.75,FALSE,FALSE,TRUE,TRUE,0,1,4,1,57,3,5,4,TRUE,TRUE,3,TRUE,1,TRUE,100,"Swvu.Alles.","ACwvu.Alles.",#N/A,FALSE,FALSE,1.08,0.25,0.590551181102362,0.393700787401575,1,"","&amp;L&amp;6&amp;F / &amp;A / &amp;D",FALSE,FALSE,FALSE,FALSE,1,100,#N/A,#N/A,FALSE,FALSE,#N/A,#N/A,FALSE,FALSE,FALSE,9,65532,65532,FALSE,FALSE,TRUE,TRUE,TRUE}</definedName>
    <definedName name="wvu.Alles." hidden="1">{TRUE,TRUE,-1.25,-15.5,772.5,492.75,FALSE,FALSE,TRUE,TRUE,0,1,4,1,57,3,5,4,TRUE,TRUE,3,TRUE,1,TRUE,100,"Swvu.Alles.","ACwvu.Alles.",#N/A,FALSE,FALSE,1.08,0.25,0.590551181102362,0.393700787401575,1,"","&amp;L&amp;6&amp;F / &amp;A / &amp;D",FALSE,FALSE,FALSE,FALSE,1,100,#N/A,#N/A,FALSE,FALSE,#N/A,#N/A,FALSE,FALSE,FALSE,9,65532,65532,FALSE,FALSE,TRUE,TRUE,TRUE}</definedName>
    <definedName name="wvu.Alles._1" hidden="1">{TRUE,TRUE,-1.25,-15.5,772.5,492.75,FALSE,FALSE,TRUE,TRUE,0,1,4,1,57,3,5,4,TRUE,TRUE,3,TRUE,1,TRUE,100,"Swvu.Alles.","ACwvu.Alles.",#N/A,FALSE,FALSE,1.08,0.25,0.590551181102362,0.393700787401575,1,"","&amp;L&amp;6&amp;F / &amp;A / &amp;D",FALSE,FALSE,FALSE,FALSE,1,100,#N/A,#N/A,FALSE,FALSE,#N/A,#N/A,FALSE,FALSE,FALSE,9,65532,65532,FALSE,FALSE,TRUE,TRUE,TRUE}</definedName>
    <definedName name="wvu.Alles._1_1" hidden="1">{TRUE,TRUE,-1.25,-15.5,772.5,492.75,FALSE,FALSE,TRUE,TRUE,0,1,4,1,57,3,5,4,TRUE,TRUE,3,TRUE,1,TRUE,100,"Swvu.Alles.","ACwvu.Alles.",#N/A,FALSE,FALSE,1.08,0.25,0.590551181102362,0.393700787401575,1,"","&amp;L&amp;6&amp;F / &amp;A / &amp;D",FALSE,FALSE,FALSE,FALSE,1,100,#N/A,#N/A,FALSE,FALSE,#N/A,#N/A,FALSE,FALSE,FALSE,9,65532,65532,FALSE,FALSE,TRUE,TRUE,TRUE}</definedName>
    <definedName name="wvu.Alles._2" hidden="1">{TRUE,TRUE,-1.25,-15.5,772.5,492.75,FALSE,FALSE,TRUE,TRUE,0,1,4,1,57,3,5,4,TRUE,TRUE,3,TRUE,1,TRUE,100,"Swvu.Alles.","ACwvu.Alles.",#N/A,FALSE,FALSE,1.08,0.25,0.590551181102362,0.393700787401575,1,"","&amp;L&amp;6&amp;F / &amp;A / &amp;D",FALSE,FALSE,FALSE,FALSE,1,100,#N/A,#N/A,FALSE,FALSE,#N/A,#N/A,FALSE,FALSE,FALSE,9,65532,65532,FALSE,FALSE,TRUE,TRUE,TRUE}</definedName>
    <definedName name="wvu.Budget_19" hidden="1">{TRUE,TRUE,-1.25,-15.5,772.5,492.75,FALSE,FALSE,TRUE,TRUE,0,1,4,1,57,3,5,4,TRUE,TRUE,3,TRUE,1,TRUE,100,"Swvu.Budget_1997.","ACwvu.Budget_1997.",#N/A,FALSE,FALSE,1.08,0.25,0.590551181102362,0.393700787401575,1,"","&amp;L&amp;6&amp;F / &amp;A / &amp;D",FALSE,FALSE,FALSE,FALSE,1,100,#N/A,#N/A,FALSE,FALSE,"Rwvu.Budget_1997.",#N/A,FALSE,FALSE,FALSE,9,65532,65532,FALSE,FALSE,TRUE,TRUE,TRUE}</definedName>
    <definedName name="wvu.Budget_19_1" hidden="1">{TRUE,TRUE,-1.25,-15.5,772.5,492.75,FALSE,FALSE,TRUE,TRUE,0,1,4,1,57,3,5,4,TRUE,TRUE,3,TRUE,1,TRUE,100,"Swvu.Budget_1997.","ACwvu.Budget_1997.",#N/A,FALSE,FALSE,1.08,0.25,0.590551181102362,0.393700787401575,1,"","&amp;L&amp;6&amp;F / &amp;A / &amp;D",FALSE,FALSE,FALSE,FALSE,1,100,#N/A,#N/A,FALSE,FALSE,"Rwvu.Budget_1997.",#N/A,FALSE,FALSE,FALSE,9,65532,65532,FALSE,FALSE,TRUE,TRUE,TRUE}</definedName>
    <definedName name="wvu.Budget_199" hidden="1">{TRUE,TRUE,-1.25,-15.5,772.5,492.75,FALSE,FALSE,TRUE,TRUE,0,1,4,1,57,3,5,4,TRUE,TRUE,3,TRUE,1,TRUE,100,"Swvu.Budget_1996.","ACwvu.Budget_1996.",#N/A,FALSE,FALSE,1.08,0.25,0.590551181102362,0.393700787401575,1,"","&amp;L&amp;6&amp;F / &amp;A / &amp;D",FALSE,FALSE,FALSE,FALSE,1,100,#N/A,#N/A,FALSE,FALSE,"Rwvu.Budget_1996.",#N/A,FALSE,FALSE,FALSE,9,65532,65532,FALSE,FALSE,TRUE,TRUE,TRUE}</definedName>
    <definedName name="wvu.Budget_199_1" hidden="1">{TRUE,TRUE,-1.25,-15.5,772.5,492.75,FALSE,FALSE,TRUE,TRUE,0,1,4,1,57,3,5,4,TRUE,TRUE,3,TRUE,1,TRUE,100,"Swvu.Budget_1996.","ACwvu.Budget_1996.",#N/A,FALSE,FALSE,1.08,0.25,0.590551181102362,0.393700787401575,1,"","&amp;L&amp;6&amp;F / &amp;A / &amp;D",FALSE,FALSE,FALSE,FALSE,1,100,#N/A,#N/A,FALSE,FALSE,"Rwvu.Budget_1996.",#N/A,FALSE,FALSE,FALSE,9,65532,65532,FALSE,FALSE,TRUE,TRUE,TRUE}</definedName>
    <definedName name="wvu.Budget_1996." hidden="1">{TRUE,TRUE,-1.25,-15.5,772.5,492.75,FALSE,FALSE,TRUE,TRUE,0,1,4,1,57,3,5,4,TRUE,TRUE,3,TRUE,1,TRUE,100,"Swvu.Budget_1996.","ACwvu.Budget_1996.",#N/A,FALSE,FALSE,1.08,0.25,0.590551181102362,0.393700787401575,1,"","&amp;L&amp;6&amp;F / &amp;A / &amp;D",FALSE,FALSE,FALSE,FALSE,1,100,#N/A,#N/A,FALSE,FALSE,"Rwvu.Budget_1996.",#N/A,FALSE,FALSE,FALSE,9,65532,65532,FALSE,FALSE,TRUE,TRUE,TRUE}</definedName>
    <definedName name="wvu.Budget_1996._1" hidden="1">{TRUE,TRUE,-1.25,-15.5,772.5,492.75,FALSE,FALSE,TRUE,TRUE,0,1,4,1,57,3,5,4,TRUE,TRUE,3,TRUE,1,TRUE,100,"Swvu.Budget_1996.","ACwvu.Budget_1996.",#N/A,FALSE,FALSE,1.08,0.25,0.590551181102362,0.393700787401575,1,"","&amp;L&amp;6&amp;F / &amp;A / &amp;D",FALSE,FALSE,FALSE,FALSE,1,100,#N/A,#N/A,FALSE,FALSE,"Rwvu.Budget_1996.",#N/A,FALSE,FALSE,FALSE,9,65532,65532,FALSE,FALSE,TRUE,TRUE,TRUE}</definedName>
    <definedName name="wvu.Budget_1996._1_1" hidden="1">{TRUE,TRUE,-1.25,-15.5,772.5,492.75,FALSE,FALSE,TRUE,TRUE,0,1,4,1,57,3,5,4,TRUE,TRUE,3,TRUE,1,TRUE,100,"Swvu.Budget_1996.","ACwvu.Budget_1996.",#N/A,FALSE,FALSE,1.08,0.25,0.590551181102362,0.393700787401575,1,"","&amp;L&amp;6&amp;F / &amp;A / &amp;D",FALSE,FALSE,FALSE,FALSE,1,100,#N/A,#N/A,FALSE,FALSE,"Rwvu.Budget_1996.",#N/A,FALSE,FALSE,FALSE,9,65532,65532,FALSE,FALSE,TRUE,TRUE,TRUE}</definedName>
    <definedName name="wvu.Budget_1996._2" hidden="1">{TRUE,TRUE,-1.25,-15.5,772.5,492.75,FALSE,FALSE,TRUE,TRUE,0,1,4,1,57,3,5,4,TRUE,TRUE,3,TRUE,1,TRUE,100,"Swvu.Budget_1996.","ACwvu.Budget_1996.",#N/A,FALSE,FALSE,1.08,0.25,0.590551181102362,0.393700787401575,1,"","&amp;L&amp;6&amp;F / &amp;A / &amp;D",FALSE,FALSE,FALSE,FALSE,1,100,#N/A,#N/A,FALSE,FALSE,"Rwvu.Budget_1996.",#N/A,FALSE,FALSE,FALSE,9,65532,65532,FALSE,FALSE,TRUE,TRUE,TRUE}</definedName>
    <definedName name="wvu.Budget_1997." hidden="1">{TRUE,TRUE,-1.25,-15.5,772.5,492.75,FALSE,FALSE,TRUE,TRUE,0,1,4,1,57,3,5,4,TRUE,TRUE,3,TRUE,1,TRUE,100,"Swvu.Budget_1997.","ACwvu.Budget_1997.",#N/A,FALSE,FALSE,1.08,0.25,0.590551181102362,0.393700787401575,1,"","&amp;L&amp;6&amp;F / &amp;A / &amp;D",FALSE,FALSE,FALSE,FALSE,1,100,#N/A,#N/A,FALSE,FALSE,"Rwvu.Budget_1997.",#N/A,FALSE,FALSE,FALSE,9,65532,65532,FALSE,FALSE,TRUE,TRUE,TRUE}</definedName>
    <definedName name="wvu.Budget_1997._1" hidden="1">{TRUE,TRUE,-1.25,-15.5,772.5,492.75,FALSE,FALSE,TRUE,TRUE,0,1,4,1,57,3,5,4,TRUE,TRUE,3,TRUE,1,TRUE,100,"Swvu.Budget_1997.","ACwvu.Budget_1997.",#N/A,FALSE,FALSE,1.08,0.25,0.590551181102362,0.393700787401575,1,"","&amp;L&amp;6&amp;F / &amp;A / &amp;D",FALSE,FALSE,FALSE,FALSE,1,100,#N/A,#N/A,FALSE,FALSE,"Rwvu.Budget_1997.",#N/A,FALSE,FALSE,FALSE,9,65532,65532,FALSE,FALSE,TRUE,TRUE,TRUE}</definedName>
    <definedName name="wvu.Budget_1997._1_1" hidden="1">{TRUE,TRUE,-1.25,-15.5,772.5,492.75,FALSE,FALSE,TRUE,TRUE,0,1,4,1,57,3,5,4,TRUE,TRUE,3,TRUE,1,TRUE,100,"Swvu.Budget_1997.","ACwvu.Budget_1997.",#N/A,FALSE,FALSE,1.08,0.25,0.590551181102362,0.393700787401575,1,"","&amp;L&amp;6&amp;F / &amp;A / &amp;D",FALSE,FALSE,FALSE,FALSE,1,100,#N/A,#N/A,FALSE,FALSE,"Rwvu.Budget_1997.",#N/A,FALSE,FALSE,FALSE,9,65532,65532,FALSE,FALSE,TRUE,TRUE,TRUE}</definedName>
    <definedName name="wvu.Budget_1997._2" hidden="1">{TRUE,TRUE,-1.25,-15.5,772.5,492.75,FALSE,FALSE,TRUE,TRUE,0,1,4,1,57,3,5,4,TRUE,TRUE,3,TRUE,1,TRUE,100,"Swvu.Budget_1997.","ACwvu.Budget_1997.",#N/A,FALSE,FALSE,1.08,0.25,0.590551181102362,0.393700787401575,1,"","&amp;L&amp;6&amp;F / &amp;A / &amp;D",FALSE,FALSE,FALSE,FALSE,1,100,#N/A,#N/A,FALSE,FALSE,"Rwvu.Budget_1997.",#N/A,FALSE,FALSE,FALSE,9,65532,65532,FALSE,FALSE,TRUE,TRUE,TRUE}</definedName>
    <definedName name="wvu.Ergebnis" hidden="1">{TRUE,TRUE,-1.25,-15.5,772.5,492.75,FALSE,TRUE,TRUE,TRUE,0,1,#N/A,1,#N/A,12.7125,22.0869565217391,1,FALSE,FALSE,3,TRUE,1,FALSE,100,"Swvu.Ergebnisüberleitung.","ACwvu.Ergebnisüberleitung.",#N/A,FALSE,FALSE,0.78740157480315,0.78740157480315,0.590551181102362,0.393700787401575,1,"","&amp;L&amp;""Arial,Kursiv""&amp;6&amp;F / &amp;A / &amp;D",FALSE,FALSE,FALSE,FALSE,1,100,#N/A,#N/A,"=R1C1:R39C8",FALSE,"Rwvu.Ergebnisüberleitung.",#N/A,FALSE,FALSE,TRUE,9,65532,65532,FALSE,FALSE,TRUE,TRUE,TRUE}</definedName>
    <definedName name="wvu.Ergebnis_1" hidden="1">{TRUE,TRUE,-1.25,-15.5,772.5,492.75,FALSE,TRUE,TRUE,TRUE,0,1,#N/A,1,#N/A,12.7125,22.0869565217391,1,FALSE,FALSE,3,TRUE,1,FALSE,100,"Swvu.Ergebnisüberleitung.","ACwvu.Ergebnisüberleitung.",#N/A,FALSE,FALSE,0.78740157480315,0.78740157480315,0.590551181102362,0.393700787401575,1,"","&amp;L&amp;""Arial,Kursiv""&amp;6&amp;F / &amp;A / &amp;D",FALSE,FALSE,FALSE,FALSE,1,100,#N/A,#N/A,"=R1C1:R39C8",FALSE,"Rwvu.Ergebnisüberleitung.",#N/A,FALSE,FALSE,TRUE,9,65532,65532,FALSE,FALSE,TRUE,TRUE,TRUE}</definedName>
    <definedName name="wvu.Ergebnisüberleitung." hidden="1">{TRUE,TRUE,-1.25,-15.5,772.5,492.75,FALSE,TRUE,TRUE,TRUE,0,1,#N/A,1,#N/A,12.7125,22.0869565217391,1,FALSE,FALSE,3,TRUE,1,FALSE,100,"Swvu.Ergebnisüberleitung.","ACwvu.Ergebnisüberleitung.",#N/A,FALSE,FALSE,0.78740157480315,0.78740157480315,0.590551181102362,0.393700787401575,1,"","&amp;L&amp;""Arial,Kursiv""&amp;6&amp;F / &amp;A / &amp;D",FALSE,FALSE,FALSE,FALSE,1,100,#N/A,#N/A,"=R1C1:R39C8",FALSE,"Rwvu.Ergebnisüberleitung.",#N/A,FALSE,FALSE,TRUE,9,65532,65532,FALSE,FALSE,TRUE,TRUE,TRUE}</definedName>
    <definedName name="wvu.Ergebnisüberleitung._1" hidden="1">{TRUE,TRUE,-1.25,-15.5,772.5,492.75,FALSE,TRUE,TRUE,TRUE,0,1,#N/A,1,#N/A,12.7125,22.0869565217391,1,FALSE,FALSE,3,TRUE,1,FALSE,100,"Swvu.Ergebnisüberleitung.","ACwvu.Ergebnisüberleitung.",#N/A,FALSE,FALSE,0.78740157480315,0.78740157480315,0.590551181102362,0.393700787401575,1,"","&amp;L&amp;""Arial,Kursiv""&amp;6&amp;F / &amp;A / &amp;D",FALSE,FALSE,FALSE,FALSE,1,100,#N/A,#N/A,"=R1C1:R39C8",FALSE,"Rwvu.Ergebnisüberleitung.",#N/A,FALSE,FALSE,TRUE,9,65532,65532,FALSE,FALSE,TRUE,TRUE,TRUE}</definedName>
    <definedName name="wvu.Ergebnisüberleitung._1_1" hidden="1">{TRUE,TRUE,-1.25,-15.5,772.5,492.75,FALSE,TRUE,TRUE,TRUE,0,1,#N/A,1,#N/A,12.7125,22.0869565217391,1,FALSE,FALSE,3,TRUE,1,FALSE,100,"Swvu.Ergebnisüberleitung.","ACwvu.Ergebnisüberleitung.",#N/A,FALSE,FALSE,0.78740157480315,0.78740157480315,0.590551181102362,0.393700787401575,1,"","&amp;L&amp;""Arial,Kursiv""&amp;6&amp;F / &amp;A / &amp;D",FALSE,FALSE,FALSE,FALSE,1,100,#N/A,#N/A,"=R1C1:R39C8",FALSE,"Rwvu.Ergebnisüberleitung.",#N/A,FALSE,FALSE,TRUE,9,65532,65532,FALSE,FALSE,TRUE,TRUE,TRUE}</definedName>
    <definedName name="wvu.Ergebnisüberleitung._2" hidden="1">{TRUE,TRUE,-1.25,-15.5,772.5,492.75,FALSE,TRUE,TRUE,TRUE,0,1,#N/A,1,#N/A,12.7125,22.0869565217391,1,FALSE,FALSE,3,TRUE,1,FALSE,100,"Swvu.Ergebnisüberleitung.","ACwvu.Ergebnisüberleitung.",#N/A,FALSE,FALSE,0.78740157480315,0.78740157480315,0.590551181102362,0.393700787401575,1,"","&amp;L&amp;""Arial,Kursiv""&amp;6&amp;F / &amp;A / &amp;D",FALSE,FALSE,FALSE,FALSE,1,100,#N/A,#N/A,"=R1C1:R39C8",FALSE,"Rwvu.Ergebnisüberleitung.",#N/A,FALSE,FALSE,TRUE,9,65532,65532,FALSE,FALSE,TRUE,TRUE,TRUE}</definedName>
    <definedName name="wvu.FC_10_Det" hidden="1">{TRUE,TRUE,-1.25,-15.5,772.5,492.75,FALSE,TRUE,TRUE,TRUE,0,1,#N/A,1,#N/A,12.65,22.0869565217391,1,FALSE,FALSE,3,TRUE,1,FALSE,100,"Swvu.FC_10_Details.","ACwvu.FC_10_Details.",#N/A,FALSE,FALSE,0.78740157480315,0.78740157480315,0.590551181102362,0.393700787401575,1,"","&amp;L&amp;""Arial,Kursiv""&amp;6&amp;F / &amp;A / &amp;D",FALSE,FALSE,FALSE,FALSE,1,100,#N/A,#N/A,"=R1C1:R39C8",FALSE,#N/A,#N/A,FALSE,FALSE,FALSE,9,65532,65532,FALSE,FALSE,TRUE,TRUE,TRUE}</definedName>
    <definedName name="wvu.FC_10_Det_1" hidden="1">{TRUE,TRUE,-1.25,-15.5,772.5,492.75,FALSE,TRUE,TRUE,TRUE,0,1,#N/A,1,#N/A,12.65,22.0869565217391,1,FALSE,FALSE,3,TRUE,1,FALSE,100,"Swvu.FC_10_Details.","ACwvu.FC_10_Details.",#N/A,FALSE,FALSE,0.78740157480315,0.78740157480315,0.590551181102362,0.393700787401575,1,"","&amp;L&amp;""Arial,Kursiv""&amp;6&amp;F / &amp;A / &amp;D",FALSE,FALSE,FALSE,FALSE,1,100,#N/A,#N/A,"=R1C1:R39C8",FALSE,#N/A,#N/A,FALSE,FALSE,FALSE,9,65532,65532,FALSE,FALSE,TRUE,TRUE,TRUE}</definedName>
    <definedName name="wvu.FC_10_Details." hidden="1">{TRUE,TRUE,-1.25,-15.5,772.5,492.75,FALSE,TRUE,TRUE,TRUE,0,1,#N/A,1,#N/A,12.65,22.0869565217391,1,FALSE,FALSE,3,TRUE,1,FALSE,100,"Swvu.FC_10_Details.","ACwvu.FC_10_Details.",#N/A,FALSE,FALSE,0.78740157480315,0.78740157480315,0.590551181102362,0.393700787401575,1,"","&amp;L&amp;""Arial,Kursiv""&amp;6&amp;F / &amp;A / &amp;D",FALSE,FALSE,FALSE,FALSE,1,100,#N/A,#N/A,"=R1C1:R39C8",FALSE,#N/A,#N/A,FALSE,FALSE,FALSE,9,65532,65532,FALSE,FALSE,TRUE,TRUE,TRUE}</definedName>
    <definedName name="wvu.FC_10_Details._1" hidden="1">{TRUE,TRUE,-1.25,-15.5,772.5,492.75,FALSE,TRUE,TRUE,TRUE,0,1,#N/A,1,#N/A,12.65,22.0869565217391,1,FALSE,FALSE,3,TRUE,1,FALSE,100,"Swvu.FC_10_Details.","ACwvu.FC_10_Details.",#N/A,FALSE,FALSE,0.78740157480315,0.78740157480315,0.590551181102362,0.393700787401575,1,"","&amp;L&amp;""Arial,Kursiv""&amp;6&amp;F / &amp;A / &amp;D",FALSE,FALSE,FALSE,FALSE,1,100,#N/A,#N/A,"=R1C1:R39C8",FALSE,#N/A,#N/A,FALSE,FALSE,FALSE,9,65532,65532,FALSE,FALSE,TRUE,TRUE,TRUE}</definedName>
    <definedName name="wvu.FC_10_Details._1_1" hidden="1">{TRUE,TRUE,-1.25,-15.5,772.5,492.75,FALSE,TRUE,TRUE,TRUE,0,1,#N/A,1,#N/A,12.65,22.0869565217391,1,FALSE,FALSE,3,TRUE,1,FALSE,100,"Swvu.FC_10_Details.","ACwvu.FC_10_Details.",#N/A,FALSE,FALSE,0.78740157480315,0.78740157480315,0.590551181102362,0.393700787401575,1,"","&amp;L&amp;""Arial,Kursiv""&amp;6&amp;F / &amp;A / &amp;D",FALSE,FALSE,FALSE,FALSE,1,100,#N/A,#N/A,"=R1C1:R39C8",FALSE,#N/A,#N/A,FALSE,FALSE,FALSE,9,65532,65532,FALSE,FALSE,TRUE,TRUE,TRUE}</definedName>
    <definedName name="wvu.FC_10_Details._2" hidden="1">{TRUE,TRUE,-1.25,-15.5,772.5,492.75,FALSE,TRUE,TRUE,TRUE,0,1,#N/A,1,#N/A,12.65,22.0869565217391,1,FALSE,FALSE,3,TRUE,1,FALSE,100,"Swvu.FC_10_Details.","ACwvu.FC_10_Details.",#N/A,FALSE,FALSE,0.78740157480315,0.78740157480315,0.590551181102362,0.393700787401575,1,"","&amp;L&amp;""Arial,Kursiv""&amp;6&amp;F / &amp;A / &amp;D",FALSE,FALSE,FALSE,FALSE,1,100,#N/A,#N/A,"=R1C1:R39C8",FALSE,#N/A,#N/A,FALSE,FALSE,FALSE,9,65532,65532,FALSE,FALSE,TRUE,TRUE,TRUE}</definedName>
    <definedName name="x">#REF!</definedName>
    <definedName name="x_1" hidden="1">{TRUE,TRUE,-1.25,-15.5,772.5,492.75,FALSE,TRUE,TRUE,TRUE,0,1,#N/A,1,#N/A,12.7125,22.0869565217391,1,FALSE,FALSE,3,TRUE,1,FALSE,100,"Swvu.Ergebnisüberleitung.","ACwvu.Ergebnisüberleitung.",#N/A,FALSE,FALSE,0.78740157480315,0.78740157480315,0.590551181102362,0.393700787401575,1,"","&amp;L&amp;""Arial,Kursiv""&amp;6&amp;F / &amp;A / &amp;D",FALSE,FALSE,FALSE,FALSE,1,100,#N/A,#N/A,"=R1C1:R39C8",FALSE,"Rwvu.Ergebnisüberleitung.",#N/A,FALSE,FALSE,TRUE,9,65532,65532,FALSE,FALSE,TRUE,TRUE,TRUE}</definedName>
    <definedName name="x_1_1" hidden="1">{TRUE,TRUE,-1.25,-15.5,772.5,492.75,FALSE,TRUE,TRUE,TRUE,0,1,#N/A,1,#N/A,12.7125,22.0869565217391,1,FALSE,FALSE,3,TRUE,1,FALSE,100,"Swvu.Ergebnisüberleitung.","ACwvu.Ergebnisüberleitung.",#N/A,FALSE,FALSE,0.78740157480315,0.78740157480315,0.590551181102362,0.393700787401575,1,"","&amp;L&amp;""Arial,Kursiv""&amp;6&amp;F / &amp;A / &amp;D",FALSE,FALSE,FALSE,FALSE,1,100,#N/A,#N/A,"=R1C1:R39C8",FALSE,"Rwvu.Ergebnisüberleitung.",#N/A,FALSE,FALSE,TRUE,9,65532,65532,FALSE,FALSE,TRUE,TRUE,TRUE}</definedName>
    <definedName name="xbbnhb" hidden="1">{TRUE,TRUE,-1.25,-15.5,772.5,492.75,FALSE,FALSE,TRUE,TRUE,0,1,4,1,57,3,5,4,TRUE,TRUE,3,TRUE,1,TRUE,100,"Swvu.Alles.","ACwvu.Alles.",#N/A,FALSE,FALSE,1.08,0.25,0.590551181102362,0.393700787401575,1,"","&amp;L&amp;6&amp;F / &amp;A / &amp;D",FALSE,FALSE,FALSE,FALSE,1,100,#N/A,#N/A,FALSE,FALSE,#N/A,#N/A,FALSE,FALSE,FALSE,9,65532,65532,FALSE,FALSE,TRUE,TRUE,TRUE}</definedName>
    <definedName name="xbbnhb_1" hidden="1">{TRUE,TRUE,-1.25,-15.5,772.5,492.75,FALSE,FALSE,TRUE,TRUE,0,1,4,1,57,3,5,4,TRUE,TRUE,3,TRUE,1,TRUE,100,"Swvu.Alles.","ACwvu.Alles.",#N/A,FALSE,FALSE,1.08,0.25,0.590551181102362,0.393700787401575,1,"","&amp;L&amp;6&amp;F / &amp;A / &amp;D",FALSE,FALSE,FALSE,FALSE,1,100,#N/A,#N/A,FALSE,FALSE,#N/A,#N/A,FALSE,FALSE,FALSE,9,65532,65532,FALSE,FALSE,TRUE,TRUE,TRUE}</definedName>
    <definedName name="xbcb" hidden="1">{#N/A,#N/A,FALSE,"V3 Stab-Geb Index";#N/A,#N/A,FALSE,"Vertrieb";#N/A,#N/A,FALSE,"V Daten";#N/A,#N/A,FALSE,"V-Z-Index";#N/A,#N/A,FALSE,"V-1 Daten";#N/A,#N/A,FALSE,"V-1 Index";#N/A,#N/A,FALSE,"V-2 Index";#N/A,#N/A,FALSE,"V-3 Daten";#N/A,#N/A,FALSE,"V3 Stab-Geb Index";#N/A,#N/A,FALSE,"V-3 VG's Index";#N/A,#N/A,FALSE,"V-4 Index";#N/A,#N/A,FALSE,"V-5 Index"}</definedName>
    <definedName name="xbcb_1" hidden="1">{#N/A,#N/A,FALSE,"V3 Stab-Geb Index";#N/A,#N/A,FALSE,"Vertrieb";#N/A,#N/A,FALSE,"V Daten";#N/A,#N/A,FALSE,"V-Z-Index";#N/A,#N/A,FALSE,"V-1 Daten";#N/A,#N/A,FALSE,"V-1 Index";#N/A,#N/A,FALSE,"V-2 Index";#N/A,#N/A,FALSE,"V-3 Daten";#N/A,#N/A,FALSE,"V3 Stab-Geb Index";#N/A,#N/A,FALSE,"V-3 VG's Index";#N/A,#N/A,FALSE,"V-4 Index";#N/A,#N/A,FALSE,"V-5 Index"}</definedName>
    <definedName name="xc" hidden="1">{TRUE,TRUE,-1.25,-15.5,772.5,492.75,FALSE,FALSE,TRUE,TRUE,0,1,4,1,57,3,5,4,TRUE,TRUE,3,TRUE,1,TRUE,100,"Swvu.Alles.","ACwvu.Alles.",#N/A,FALSE,FALSE,1.08,0.25,0.590551181102362,0.393700787401575,1,"","&amp;L&amp;6&amp;F / &amp;A / &amp;D",FALSE,FALSE,FALSE,FALSE,1,100,#N/A,#N/A,FALSE,FALSE,#N/A,#N/A,FALSE,FALSE,FALSE,9,65532,65532,FALSE,FALSE,TRUE,TRUE,TRUE}</definedName>
    <definedName name="xc_1" hidden="1">{TRUE,TRUE,-1.25,-15.5,772.5,492.75,FALSE,FALSE,TRUE,TRUE,0,1,4,1,57,3,5,4,TRUE,TRUE,3,TRUE,1,TRUE,100,"Swvu.Alles.","ACwvu.Alles.",#N/A,FALSE,FALSE,1.08,0.25,0.590551181102362,0.393700787401575,1,"","&amp;L&amp;6&amp;F / &amp;A / &amp;D",FALSE,FALSE,FALSE,FALSE,1,100,#N/A,#N/A,FALSE,FALSE,#N/A,#N/A,FALSE,FALSE,FALSE,9,65532,65532,FALSE,FALSE,TRUE,TRUE,TRUE}</definedName>
    <definedName name="xc_1_1" hidden="1">{TRUE,TRUE,-1.25,-15.5,772.5,492.75,FALSE,FALSE,TRUE,TRUE,0,1,4,1,57,3,5,4,TRUE,TRUE,3,TRUE,1,TRUE,100,"Swvu.Alles.","ACwvu.Alles.",#N/A,FALSE,FALSE,1.08,0.25,0.590551181102362,0.393700787401575,1,"","&amp;L&amp;6&amp;F / &amp;A / &amp;D",FALSE,FALSE,FALSE,FALSE,1,100,#N/A,#N/A,FALSE,FALSE,#N/A,#N/A,FALSE,FALSE,FALSE,9,65532,65532,FALSE,FALSE,TRUE,TRUE,TRUE}</definedName>
    <definedName name="xc_2" hidden="1">{TRUE,TRUE,-1.25,-15.5,772.5,492.75,FALSE,FALSE,TRUE,TRUE,0,1,4,1,57,3,5,4,TRUE,TRUE,3,TRUE,1,TRUE,100,"Swvu.Alles.","ACwvu.Alles.",#N/A,FALSE,FALSE,1.08,0.25,0.590551181102362,0.393700787401575,1,"","&amp;L&amp;6&amp;F / &amp;A / &amp;D",FALSE,FALSE,FALSE,FALSE,1,100,#N/A,#N/A,FALSE,FALSE,#N/A,#N/A,FALSE,FALSE,FALSE,9,65532,65532,FALSE,FALSE,TRUE,TRUE,TRUE}</definedName>
    <definedName name="xcbc" hidden="1">{TRUE,TRUE,-1.25,-15.5,772.5,492.75,FALSE,TRUE,TRUE,TRUE,0,1,#N/A,1,#N/A,12.65,22.0869565217391,1,FALSE,FALSE,3,TRUE,1,FALSE,100,"Swvu.FC_10_Details.","ACwvu.FC_10_Details.",#N/A,FALSE,FALSE,0.78740157480315,0.78740157480315,0.590551181102362,0.393700787401575,1,"","&amp;L&amp;""Arial,Kursiv""&amp;6&amp;F / &amp;A / &amp;D",FALSE,FALSE,FALSE,FALSE,1,100,#N/A,#N/A,"=R1C1:R39C8",FALSE,#N/A,#N/A,FALSE,FALSE,FALSE,9,65532,65532,FALSE,FALSE,TRUE,TRUE,TRUE}</definedName>
    <definedName name="xcbc_1" hidden="1">{TRUE,TRUE,-1.25,-15.5,772.5,492.75,FALSE,TRUE,TRUE,TRUE,0,1,#N/A,1,#N/A,12.65,22.0869565217391,1,FALSE,FALSE,3,TRUE,1,FALSE,100,"Swvu.FC_10_Details.","ACwvu.FC_10_Details.",#N/A,FALSE,FALSE,0.78740157480315,0.78740157480315,0.590551181102362,0.393700787401575,1,"","&amp;L&amp;""Arial,Kursiv""&amp;6&amp;F / &amp;A / &amp;D",FALSE,FALSE,FALSE,FALSE,1,100,#N/A,#N/A,"=R1C1:R39C8",FALSE,#N/A,#N/A,FALSE,FALSE,FALSE,9,65532,65532,FALSE,FALSE,TRUE,TRUE,TRUE}</definedName>
    <definedName name="xcbxc" hidden="1">{#N/A,#N/A,FALSE,"bel";#N/A,#N/A,FALSE,"neth"}</definedName>
    <definedName name="xcbxc_1" hidden="1">{#N/A,#N/A,FALSE,"bel";#N/A,#N/A,FALSE,"neth"}</definedName>
    <definedName name="xthj" hidden="1">{TRUE,TRUE,-1.25,-15.5,772.5,492.75,FALSE,TRUE,TRUE,TRUE,0,1,#N/A,1,#N/A,12.7125,22.0869565217391,1,FALSE,FALSE,3,TRUE,1,FALSE,100,"Swvu.Ergebnisüberleitung.","ACwvu.Ergebnisüberleitung.",#N/A,FALSE,FALSE,0.78740157480315,0.78740157480315,0.590551181102362,0.393700787401575,1,"","&amp;L&amp;""Arial,Kursiv""&amp;6&amp;F / &amp;A / &amp;D",FALSE,FALSE,FALSE,FALSE,1,100,#N/A,#N/A,"=R1C1:R39C8",FALSE,"Rwvu.Ergebnisüberleitung.",#N/A,FALSE,FALSE,TRUE,9,65532,65532,FALSE,FALSE,TRUE,TRUE,TRUE}</definedName>
    <definedName name="xthj_1" hidden="1">{TRUE,TRUE,-1.25,-15.5,772.5,492.75,FALSE,TRUE,TRUE,TRUE,0,1,#N/A,1,#N/A,12.7125,22.0869565217391,1,FALSE,FALSE,3,TRUE,1,FALSE,100,"Swvu.Ergebnisüberleitung.","ACwvu.Ergebnisüberleitung.",#N/A,FALSE,FALSE,0.78740157480315,0.78740157480315,0.590551181102362,0.393700787401575,1,"","&amp;L&amp;""Arial,Kursiv""&amp;6&amp;F / &amp;A / &amp;D",FALSE,FALSE,FALSE,FALSE,1,100,#N/A,#N/A,"=R1C1:R39C8",FALSE,"Rwvu.Ergebnisüberleitung.",#N/A,FALSE,FALSE,TRUE,9,65532,65532,FALSE,FALSE,TRUE,TRUE,TRUE}</definedName>
    <definedName name="xtjxz" hidden="1">{#N/A,#N/A,FALSE,"bel";#N/A,#N/A,FALSE,"neth"}</definedName>
    <definedName name="xtjxz_1" hidden="1">{#N/A,#N/A,FALSE,"bel";#N/A,#N/A,FALSE,"neth"}</definedName>
    <definedName name="yxf" hidden="1">{TRUE,TRUE,-1.25,-15.5,772.5,492.75,FALSE,FALSE,TRUE,TRUE,0,1,4,1,57,3,5,4,TRUE,TRUE,3,TRUE,1,TRUE,100,"Swvu.Budget_1996.","ACwvu.Budget_1996.",#N/A,FALSE,FALSE,1.08,0.25,0.590551181102362,0.393700787401575,1,"","&amp;L&amp;6&amp;F / &amp;A / &amp;D",FALSE,FALSE,FALSE,FALSE,1,100,#N/A,#N/A,FALSE,FALSE,"Rwvu.Budget_1996.",#N/A,FALSE,FALSE,FALSE,9,65532,65532,FALSE,FALSE,TRUE,TRUE,TRUE}</definedName>
    <definedName name="yxf_1" hidden="1">{TRUE,TRUE,-1.25,-15.5,772.5,492.75,FALSE,FALSE,TRUE,TRUE,0,1,4,1,57,3,5,4,TRUE,TRUE,3,TRUE,1,TRUE,100,"Swvu.Budget_1996.","ACwvu.Budget_1996.",#N/A,FALSE,FALSE,1.08,0.25,0.590551181102362,0.393700787401575,1,"","&amp;L&amp;6&amp;F / &amp;A / &amp;D",FALSE,FALSE,FALSE,FALSE,1,100,#N/A,#N/A,FALSE,FALSE,"Rwvu.Budget_1996.",#N/A,FALSE,FALSE,FALSE,9,65532,65532,FALSE,FALSE,TRUE,TRUE,TRUE}</definedName>
    <definedName name="yxf_1_1" hidden="1">{TRUE,TRUE,-1.25,-15.5,772.5,492.75,FALSE,FALSE,TRUE,TRUE,0,1,4,1,57,3,5,4,TRUE,TRUE,3,TRUE,1,TRUE,100,"Swvu.Budget_1996.","ACwvu.Budget_1996.",#N/A,FALSE,FALSE,1.08,0.25,0.590551181102362,0.393700787401575,1,"","&amp;L&amp;6&amp;F / &amp;A / &amp;D",FALSE,FALSE,FALSE,FALSE,1,100,#N/A,#N/A,FALSE,FALSE,"Rwvu.Budget_1996.",#N/A,FALSE,FALSE,FALSE,9,65532,65532,FALSE,FALSE,TRUE,TRUE,TRUE}</definedName>
    <definedName name="yxf_2" hidden="1">{TRUE,TRUE,-1.25,-15.5,772.5,492.75,FALSE,FALSE,TRUE,TRUE,0,1,4,1,57,3,5,4,TRUE,TRUE,3,TRUE,1,TRUE,100,"Swvu.Budget_1996.","ACwvu.Budget_1996.",#N/A,FALSE,FALSE,1.08,0.25,0.590551181102362,0.393700787401575,1,"","&amp;L&amp;6&amp;F / &amp;A / &amp;D",FALSE,FALSE,FALSE,FALSE,1,100,#N/A,#N/A,FALSE,FALSE,"Rwvu.Budget_1996.",#N/A,FALSE,FALSE,FALSE,9,65532,65532,FALSE,FALSE,TRUE,TRUE,TRUE}</definedName>
    <definedName name="z" hidden="1">{TRUE,TRUE,-1.25,-15.5,772.5,492.75,FALSE,FALSE,TRUE,TRUE,0,1,4,1,57,3,5,4,TRUE,TRUE,3,TRUE,1,TRUE,100,"Swvu.Budget_1997.","ACwvu.Budget_1997.",#N/A,FALSE,FALSE,1.08,0.25,0.590551181102362,0.393700787401575,1,"","&amp;L&amp;6&amp;F / &amp;A / &amp;D",FALSE,FALSE,FALSE,FALSE,1,100,#N/A,#N/A,FALSE,FALSE,"Rwvu.Budget_1997.",#N/A,FALSE,FALSE,FALSE,9,65532,65532,FALSE,FALSE,TRUE,TRUE,TRUE}</definedName>
    <definedName name="Z_11E42F02_8116_47C6_A60D_8C2FB4F4AE5D_.wvu.Cols" hidden="1">#REF!,#REF!,#REF!</definedName>
    <definedName name="zflufu" hidden="1">{TRUE,TRUE,-1.25,-15.5,772.5,492.75,FALSE,FALSE,TRUE,TRUE,0,1,4,1,57,3,5,4,TRUE,TRUE,3,TRUE,1,TRUE,100,"Swvu.Budget_1996.","ACwvu.Budget_1996.",#N/A,FALSE,FALSE,1.08,0.25,0.590551181102362,0.393700787401575,1,"","&amp;L&amp;6&amp;F / &amp;A / &amp;D",FALSE,FALSE,FALSE,FALSE,1,100,#N/A,#N/A,FALSE,FALSE,"Rwvu.Budget_1996.",#N/A,FALSE,FALSE,FALSE,9,65532,65532,FALSE,FALSE,TRUE,TRUE,TRUE}</definedName>
    <definedName name="zflufu_1" hidden="1">{TRUE,TRUE,-1.25,-15.5,772.5,492.75,FALSE,FALSE,TRUE,TRUE,0,1,4,1,57,3,5,4,TRUE,TRUE,3,TRUE,1,TRUE,100,"Swvu.Budget_1996.","ACwvu.Budget_1996.",#N/A,FALSE,FALSE,1.08,0.25,0.590551181102362,0.393700787401575,1,"","&amp;L&amp;6&amp;F / &amp;A / &amp;D",FALSE,FALSE,FALSE,FALSE,1,100,#N/A,#N/A,FALSE,FALSE,"Rwvu.Budget_1996.",#N/A,FALSE,FALSE,FALSE,9,65532,65532,FALSE,FALSE,TRUE,TRUE,TRUE}</definedName>
    <definedName name="Ziele" hidden="1">{TRUE,TRUE,-1.25,-15.5,772.5,492.75,FALSE,FALSE,TRUE,TRUE,0,1,4,1,57,3,5,4,TRUE,TRUE,3,TRUE,1,TRUE,100,"Swvu.Alles.","ACwvu.Alles.",#N/A,FALSE,FALSE,1.08,0.25,0.590551181102362,0.393700787401575,1,"","&amp;L&amp;6&amp;F / &amp;A / &amp;D",FALSE,FALSE,FALSE,FALSE,1,100,#N/A,#N/A,FALSE,FALSE,#N/A,#N/A,FALSE,FALSE,FALSE,9,65532,65532,FALSE,FALSE,TRUE,TRUE,TRUE}</definedName>
    <definedName name="Ziele_1" hidden="1">{TRUE,TRUE,-1.25,-15.5,772.5,492.75,FALSE,FALSE,TRUE,TRUE,0,1,4,1,57,3,5,4,TRUE,TRUE,3,TRUE,1,TRUE,100,"Swvu.Alles.","ACwvu.Alles.",#N/A,FALSE,FALSE,1.08,0.25,0.590551181102362,0.393700787401575,1,"","&amp;L&amp;6&amp;F / &amp;A / &amp;D",FALSE,FALSE,FALSE,FALSE,1,100,#N/A,#N/A,FALSE,FALSE,#N/A,#N/A,FALSE,FALSE,FALSE,9,65532,65532,FALSE,FALSE,TRUE,TRUE,TRUE}</definedName>
    <definedName name="zluz" hidden="1">{TRUE,TRUE,-1.25,-15.5,772.5,492.75,FALSE,FALSE,TRUE,TRUE,0,1,4,1,57,3,5,4,TRUE,TRUE,3,TRUE,1,TRUE,100,"Swvu.Budget_1997.","ACwvu.Budget_1997.",#N/A,FALSE,FALSE,1.08,0.25,0.590551181102362,0.393700787401575,1,"","&amp;L&amp;6&amp;F / &amp;A / &amp;D",FALSE,FALSE,FALSE,FALSE,1,100,#N/A,#N/A,FALSE,FALSE,"Rwvu.Budget_1997.",#N/A,FALSE,FALSE,FALSE,9,65532,65532,FALSE,FALSE,TRUE,TRUE,TRUE}</definedName>
    <definedName name="zluz_1" hidden="1">{TRUE,TRUE,-1.25,-15.5,772.5,492.75,FALSE,FALSE,TRUE,TRUE,0,1,4,1,57,3,5,4,TRUE,TRUE,3,TRUE,1,TRUE,100,"Swvu.Budget_1997.","ACwvu.Budget_1997.",#N/A,FALSE,FALSE,1.08,0.25,0.590551181102362,0.393700787401575,1,"","&amp;L&amp;6&amp;F / &amp;A / &amp;D",FALSE,FALSE,FALSE,FALSE,1,100,#N/A,#N/A,FALSE,FALSE,"Rwvu.Budget_1997.",#N/A,FALSE,FALSE,FALSE,9,65532,65532,FALSE,FALSE,TRUE,TRUE,TRUE}</definedName>
  </definedNames>
  <calcPr calcId="191028"/>
  <extLs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calcChain.xml><?xml version="1.0" encoding="utf-8"?>
<calcChain xmlns="http://schemas.openxmlformats.org/spreadsheetml/2006/main">
  <c r="I93" i="3" l="1"/>
  <c r="I78" i="3"/>
  <c r="I63" i="3"/>
  <c r="F65" i="3" l="1"/>
  <c r="H93" i="3"/>
  <c r="F63" i="3"/>
  <c r="H78" i="3"/>
  <c r="H63" i="3"/>
  <c r="F96" i="3"/>
  <c r="F95" i="3"/>
  <c r="F94" i="3"/>
  <c r="F93" i="3"/>
  <c r="F92" i="3"/>
  <c r="F91" i="3"/>
  <c r="F90" i="3"/>
  <c r="F89" i="3"/>
  <c r="F81" i="3"/>
  <c r="F80" i="3"/>
  <c r="F79" i="3"/>
  <c r="F78" i="3"/>
  <c r="F77" i="3"/>
  <c r="F76" i="3"/>
  <c r="F75" i="3"/>
  <c r="F74" i="3"/>
  <c r="F66" i="3"/>
  <c r="F64" i="3"/>
  <c r="F62" i="3"/>
  <c r="F61" i="3"/>
  <c r="F60" i="3"/>
  <c r="F59" i="3"/>
  <c r="G77" i="3"/>
  <c r="F16" i="3"/>
  <c r="E66" i="3" s="1"/>
  <c r="F14" i="2"/>
  <c r="F14" i="3" s="1"/>
  <c r="E94" i="3" s="1"/>
  <c r="F21" i="3"/>
  <c r="G45" i="3"/>
  <c r="F45" i="3"/>
  <c r="G21" i="3" s="1"/>
  <c r="H45" i="3"/>
  <c r="F9" i="3"/>
  <c r="E89" i="3" s="1"/>
  <c r="G34" i="3"/>
  <c r="H34" i="3"/>
  <c r="G35" i="3"/>
  <c r="H35" i="3"/>
  <c r="G36" i="3"/>
  <c r="H36" i="3"/>
  <c r="G37" i="3"/>
  <c r="G78" i="3" s="1"/>
  <c r="H37" i="3"/>
  <c r="G91" i="3" s="1"/>
  <c r="G38" i="3"/>
  <c r="G80" i="3" s="1"/>
  <c r="H38" i="3"/>
  <c r="G95" i="3" s="1"/>
  <c r="G39" i="3"/>
  <c r="H39" i="3"/>
  <c r="G96" i="3" s="1"/>
  <c r="G40" i="3"/>
  <c r="J78" i="3" s="1"/>
  <c r="H40" i="3"/>
  <c r="J92" i="3" s="1"/>
  <c r="G41" i="3"/>
  <c r="J80" i="3" s="1"/>
  <c r="H41" i="3"/>
  <c r="J95" i="3" s="1"/>
  <c r="G42" i="3"/>
  <c r="H42" i="3"/>
  <c r="J96" i="3" s="1"/>
  <c r="G43" i="3"/>
  <c r="H43" i="3"/>
  <c r="G44" i="3"/>
  <c r="H44" i="3"/>
  <c r="G46" i="3"/>
  <c r="M78" i="3" s="1"/>
  <c r="H46" i="3"/>
  <c r="M93" i="3" s="1"/>
  <c r="G47" i="3"/>
  <c r="M80" i="3" s="1"/>
  <c r="H47" i="3"/>
  <c r="M95" i="3" s="1"/>
  <c r="G48" i="3"/>
  <c r="H48" i="3"/>
  <c r="M96" i="3" s="1"/>
  <c r="G49" i="3"/>
  <c r="N77" i="3" s="1"/>
  <c r="H49" i="3"/>
  <c r="N93" i="3" s="1"/>
  <c r="G50" i="3"/>
  <c r="N80" i="3" s="1"/>
  <c r="H50" i="3"/>
  <c r="N95" i="3" s="1"/>
  <c r="G51" i="3"/>
  <c r="H51" i="3"/>
  <c r="N96" i="3" s="1"/>
  <c r="F35" i="3"/>
  <c r="F36" i="3"/>
  <c r="F37" i="3"/>
  <c r="G62" i="3" s="1"/>
  <c r="F38" i="3"/>
  <c r="G65" i="3" s="1"/>
  <c r="F39" i="3"/>
  <c r="G64" i="3" s="1"/>
  <c r="F40" i="3"/>
  <c r="J63" i="3" s="1"/>
  <c r="F41" i="3"/>
  <c r="J65" i="3" s="1"/>
  <c r="F42" i="3"/>
  <c r="J64" i="3" s="1"/>
  <c r="F43" i="3"/>
  <c r="G27" i="3" s="1"/>
  <c r="F44" i="3"/>
  <c r="F46" i="3"/>
  <c r="M63" i="3" s="1"/>
  <c r="F47" i="3"/>
  <c r="M65" i="3" s="1"/>
  <c r="F48" i="3"/>
  <c r="M66" i="3" s="1"/>
  <c r="F49" i="3"/>
  <c r="N62" i="3" s="1"/>
  <c r="F50" i="3"/>
  <c r="N65" i="3" s="1"/>
  <c r="F51" i="3"/>
  <c r="N64" i="3" s="1"/>
  <c r="F34" i="3"/>
  <c r="F28" i="3"/>
  <c r="F27" i="3"/>
  <c r="F13" i="3"/>
  <c r="G13" i="3" s="1"/>
  <c r="F12" i="3"/>
  <c r="H12" i="3" s="1"/>
  <c r="F11" i="3"/>
  <c r="H11" i="3" s="1"/>
  <c r="F10" i="3"/>
  <c r="H10" i="3" s="1"/>
  <c r="F59" i="2"/>
  <c r="H59" i="3" s="1"/>
  <c r="I77" i="3" l="1"/>
  <c r="F15" i="3"/>
  <c r="H74" i="3"/>
  <c r="E79" i="3"/>
  <c r="J94" i="3"/>
  <c r="J62" i="3"/>
  <c r="H89" i="3"/>
  <c r="I89" i="3" s="1"/>
  <c r="G76" i="3"/>
  <c r="N90" i="3"/>
  <c r="E81" i="3"/>
  <c r="G75" i="3"/>
  <c r="N89" i="3"/>
  <c r="J61" i="3"/>
  <c r="G92" i="3"/>
  <c r="N91" i="3"/>
  <c r="J60" i="3"/>
  <c r="G93" i="3"/>
  <c r="J66" i="3"/>
  <c r="K78" i="3"/>
  <c r="L78" i="3" s="1"/>
  <c r="M61" i="3"/>
  <c r="E64" i="3"/>
  <c r="N76" i="3"/>
  <c r="J89" i="3"/>
  <c r="E77" i="3"/>
  <c r="E96" i="3"/>
  <c r="J90" i="3"/>
  <c r="E78" i="3"/>
  <c r="J93" i="3"/>
  <c r="G94" i="3"/>
  <c r="M79" i="3"/>
  <c r="N92" i="3"/>
  <c r="N74" i="3"/>
  <c r="M89" i="3"/>
  <c r="M62" i="3"/>
  <c r="G74" i="3"/>
  <c r="N75" i="3"/>
  <c r="M90" i="3"/>
  <c r="N94" i="3"/>
  <c r="M92" i="3"/>
  <c r="M91" i="3"/>
  <c r="M60" i="3"/>
  <c r="N78" i="3"/>
  <c r="J59" i="3"/>
  <c r="G90" i="3"/>
  <c r="J91" i="3"/>
  <c r="M94" i="3"/>
  <c r="G59" i="3"/>
  <c r="G89" i="3"/>
  <c r="E59" i="3"/>
  <c r="I96" i="3"/>
  <c r="J79" i="3"/>
  <c r="E60" i="3"/>
  <c r="J81" i="3"/>
  <c r="E61" i="3"/>
  <c r="G61" i="3"/>
  <c r="G60" i="3"/>
  <c r="N59" i="3"/>
  <c r="E63" i="3"/>
  <c r="E92" i="3"/>
  <c r="G66" i="3"/>
  <c r="I66" i="3" s="1"/>
  <c r="J74" i="3"/>
  <c r="M74" i="3"/>
  <c r="N61" i="3"/>
  <c r="G81" i="3"/>
  <c r="M75" i="3"/>
  <c r="N79" i="3"/>
  <c r="M59" i="3"/>
  <c r="N60" i="3"/>
  <c r="E74" i="3"/>
  <c r="J76" i="3"/>
  <c r="M64" i="3"/>
  <c r="N66" i="3"/>
  <c r="E75" i="3"/>
  <c r="J77" i="3"/>
  <c r="M77" i="3"/>
  <c r="N81" i="3"/>
  <c r="G63" i="3"/>
  <c r="M81" i="3"/>
  <c r="E62" i="3"/>
  <c r="E90" i="3"/>
  <c r="N63" i="3"/>
  <c r="G79" i="3"/>
  <c r="J75" i="3"/>
  <c r="M76" i="3"/>
  <c r="E76" i="3"/>
  <c r="E91" i="3"/>
  <c r="E93" i="3"/>
  <c r="H9" i="3"/>
  <c r="G9" i="3" s="1"/>
  <c r="I59" i="3" s="1"/>
  <c r="H14" i="3"/>
  <c r="G28" i="3"/>
  <c r="H16" i="3"/>
  <c r="I74" i="3" l="1"/>
  <c r="K77" i="3"/>
  <c r="O77" i="3" s="1"/>
  <c r="I91" i="3"/>
  <c r="K91" i="3" s="1"/>
  <c r="K93" i="3"/>
  <c r="O93" i="3" s="1"/>
  <c r="I64" i="3"/>
  <c r="K64" i="3" s="1"/>
  <c r="I81" i="3"/>
  <c r="K81" i="3" s="1"/>
  <c r="O81" i="3" s="1"/>
  <c r="I94" i="3"/>
  <c r="K94" i="3" s="1"/>
  <c r="I79" i="3"/>
  <c r="K79" i="3" s="1"/>
  <c r="O79" i="3" s="1"/>
  <c r="I60" i="3"/>
  <c r="K60" i="3" s="1"/>
  <c r="L60" i="3" s="1"/>
  <c r="K96" i="3"/>
  <c r="L96" i="3" s="1"/>
  <c r="I90" i="3"/>
  <c r="K90" i="3" s="1"/>
  <c r="O90" i="3" s="1"/>
  <c r="I75" i="3"/>
  <c r="K75" i="3" s="1"/>
  <c r="O75" i="3" s="1"/>
  <c r="P75" i="3" s="1"/>
  <c r="I92" i="3"/>
  <c r="K92" i="3" s="1"/>
  <c r="O92" i="3" s="1"/>
  <c r="P92" i="3" s="1"/>
  <c r="I76" i="3"/>
  <c r="K76" i="3" s="1"/>
  <c r="O76" i="3" s="1"/>
  <c r="P76" i="3" s="1"/>
  <c r="F17" i="3"/>
  <c r="E95" i="3"/>
  <c r="I95" i="3" s="1"/>
  <c r="E65" i="3"/>
  <c r="I65" i="3" s="1"/>
  <c r="E80" i="3"/>
  <c r="I80" i="3" s="1"/>
  <c r="K80" i="3" s="1"/>
  <c r="O78" i="3"/>
  <c r="I61" i="3"/>
  <c r="K61" i="3" s="1"/>
  <c r="L61" i="3" s="1"/>
  <c r="H15" i="3"/>
  <c r="H17" i="3" s="1"/>
  <c r="I62" i="3"/>
  <c r="K66" i="3"/>
  <c r="O66" i="3" s="1"/>
  <c r="O94" i="3" l="1"/>
  <c r="P93" i="3"/>
  <c r="E21" i="4" s="1"/>
  <c r="R91" i="3"/>
  <c r="P90" i="3"/>
  <c r="P79" i="3"/>
  <c r="D22" i="4" s="1"/>
  <c r="R77" i="3"/>
  <c r="P78" i="3"/>
  <c r="D21" i="4" s="1"/>
  <c r="R76" i="3"/>
  <c r="P77" i="3"/>
  <c r="R75" i="3"/>
  <c r="P66" i="3"/>
  <c r="C24" i="4" s="1"/>
  <c r="R64" i="3"/>
  <c r="P81" i="3"/>
  <c r="D24" i="4" s="1"/>
  <c r="R79" i="3"/>
  <c r="E98" i="3"/>
  <c r="O64" i="3"/>
  <c r="L64" i="3"/>
  <c r="L93" i="3"/>
  <c r="L81" i="3"/>
  <c r="O91" i="3"/>
  <c r="P91" i="3" s="1"/>
  <c r="E20" i="4" s="1"/>
  <c r="L91" i="3"/>
  <c r="L77" i="3"/>
  <c r="E83" i="3"/>
  <c r="D20" i="4"/>
  <c r="O80" i="3"/>
  <c r="L79" i="3"/>
  <c r="G17" i="3"/>
  <c r="O96" i="3"/>
  <c r="L80" i="3"/>
  <c r="K89" i="3"/>
  <c r="K59" i="3"/>
  <c r="L76" i="3"/>
  <c r="L75" i="3"/>
  <c r="L92" i="3"/>
  <c r="K95" i="3"/>
  <c r="L95" i="3" s="1"/>
  <c r="L90" i="3"/>
  <c r="D8" i="4"/>
  <c r="E8" i="4"/>
  <c r="C8" i="4"/>
  <c r="L94" i="3"/>
  <c r="O60" i="3"/>
  <c r="K63" i="3"/>
  <c r="O63" i="3" s="1"/>
  <c r="O61" i="3"/>
  <c r="P61" i="3" s="1"/>
  <c r="K65" i="3"/>
  <c r="O65" i="3" s="1"/>
  <c r="L66" i="3"/>
  <c r="E68" i="3"/>
  <c r="K62" i="3"/>
  <c r="O62" i="3" s="1"/>
  <c r="P62" i="3" s="1"/>
  <c r="P94" i="3" l="1"/>
  <c r="E22" i="4" s="1"/>
  <c r="R92" i="3"/>
  <c r="R90" i="3"/>
  <c r="P80" i="3"/>
  <c r="D23" i="4" s="1"/>
  <c r="R78" i="3"/>
  <c r="P65" i="3"/>
  <c r="C23" i="4" s="1"/>
  <c r="R63" i="3"/>
  <c r="P64" i="3"/>
  <c r="C22" i="4" s="1"/>
  <c r="R62" i="3"/>
  <c r="P63" i="3"/>
  <c r="C21" i="4" s="1"/>
  <c r="R61" i="3"/>
  <c r="P60" i="3"/>
  <c r="C20" i="4" s="1"/>
  <c r="R60" i="3"/>
  <c r="P96" i="3"/>
  <c r="E24" i="4" s="1"/>
  <c r="R94" i="3"/>
  <c r="O95" i="3"/>
  <c r="K98" i="3"/>
  <c r="L89" i="3"/>
  <c r="O89" i="3"/>
  <c r="R89" i="3" s="1"/>
  <c r="K74" i="3"/>
  <c r="K83" i="3" s="1"/>
  <c r="I83" i="3"/>
  <c r="I98" i="3"/>
  <c r="O59" i="3"/>
  <c r="L59" i="3"/>
  <c r="I68" i="3"/>
  <c r="L63" i="3"/>
  <c r="L65" i="3"/>
  <c r="L62" i="3"/>
  <c r="K68" i="3"/>
  <c r="P95" i="3" l="1"/>
  <c r="E23" i="4" s="1"/>
  <c r="R93" i="3"/>
  <c r="P59" i="3"/>
  <c r="P68" i="3" s="1"/>
  <c r="C10" i="4" s="1"/>
  <c r="R59" i="3"/>
  <c r="L98" i="3"/>
  <c r="E9" i="4" s="1"/>
  <c r="E13" i="4" s="1"/>
  <c r="O98" i="3"/>
  <c r="L74" i="3"/>
  <c r="L83" i="3" s="1"/>
  <c r="D9" i="4" s="1"/>
  <c r="D13" i="4" s="1"/>
  <c r="O74" i="3"/>
  <c r="R74" i="3" s="1"/>
  <c r="O68" i="3"/>
  <c r="L68" i="3"/>
  <c r="C9" i="4" s="1"/>
  <c r="C13" i="4" s="1"/>
  <c r="C19" i="4" l="1"/>
  <c r="C25" i="4" s="1"/>
  <c r="C26" i="4" s="1"/>
  <c r="P89" i="3"/>
  <c r="O83" i="3"/>
  <c r="P74" i="3"/>
  <c r="C12" i="4"/>
  <c r="P98" i="3" l="1"/>
  <c r="E10" i="4" s="1"/>
  <c r="E12" i="4" s="1"/>
  <c r="E19" i="4"/>
  <c r="E25" i="4" s="1"/>
  <c r="P83" i="3"/>
  <c r="D10" i="4" s="1"/>
  <c r="D12" i="4" s="1"/>
  <c r="D19" i="4"/>
  <c r="D25" i="4" s="1"/>
  <c r="E26" i="4" l="1"/>
  <c r="D26" i="4"/>
</calcChain>
</file>

<file path=xl/sharedStrings.xml><?xml version="1.0" encoding="utf-8"?>
<sst xmlns="http://schemas.openxmlformats.org/spreadsheetml/2006/main" count="378" uniqueCount="149">
  <si>
    <t>Schéma directeur / Plan stratégique à 10 ans cloud et datacenters</t>
  </si>
  <si>
    <t>Modélisation de la demande IT Horizon 2035</t>
  </si>
  <si>
    <t>Inputs &amp; Hypothèses</t>
  </si>
  <si>
    <t>A.</t>
  </si>
  <si>
    <t>Baseline 2026</t>
  </si>
  <si>
    <t>Bloc</t>
  </si>
  <si>
    <t>Unité</t>
  </si>
  <si>
    <t>Baseline IT 2026</t>
  </si>
  <si>
    <t>Source / commentaire</t>
  </si>
  <si>
    <t>DSP</t>
  </si>
  <si>
    <t>kW</t>
  </si>
  <si>
    <t>Hypothèse RB sur la base des entretiens</t>
  </si>
  <si>
    <t>DENJS</t>
  </si>
  <si>
    <t>APDP</t>
  </si>
  <si>
    <t>DITN</t>
  </si>
  <si>
    <t>CHPG</t>
  </si>
  <si>
    <t>Monaco Telecom – besoins propres</t>
  </si>
  <si>
    <t>Finance</t>
  </si>
  <si>
    <t>voir onglet calcul</t>
  </si>
  <si>
    <t>à calculer à partir du modèle</t>
  </si>
  <si>
    <t>Privé hors finance</t>
  </si>
  <si>
    <t>Driver / volume 2026</t>
  </si>
  <si>
    <t>agents</t>
  </si>
  <si>
    <t>kW capacité commerciale</t>
  </si>
  <si>
    <t>Hypothèse RB sur la base des entretiens (10% de la capa commerciale installée)</t>
  </si>
  <si>
    <t>salariés</t>
  </si>
  <si>
    <t>60 454 salariés privés – 4 534 finance (IMSEE, 2024)</t>
  </si>
  <si>
    <t>B.</t>
  </si>
  <si>
    <t>Hypothèses hors DSP, CHPG</t>
  </si>
  <si>
    <t>Hypothèse</t>
  </si>
  <si>
    <t>Scénario Bas</t>
  </si>
  <si>
    <t>Scénario Central</t>
  </si>
  <si>
    <t>Scénario Haut</t>
  </si>
  <si>
    <t>Source / rationnel</t>
  </si>
  <si>
    <t>Croissance annuelle effectifs publics</t>
  </si>
  <si>
    <t>% p.a.</t>
  </si>
  <si>
    <t>Hypothèse de travail</t>
  </si>
  <si>
    <t>Croissance annuelle effectifs finance</t>
  </si>
  <si>
    <t>Croissance annuelle effectifs privé hors finance</t>
  </si>
  <si>
    <t>Croissance annuelle intensité numérique hors IA – public</t>
  </si>
  <si>
    <t>Hypothèse de travail – besoin IT / utilisateur</t>
  </si>
  <si>
    <t>Croissance annuelle intensité numérique hors IA – finance</t>
  </si>
  <si>
    <t>Hypothèse de travail – finance plus data-intensive</t>
  </si>
  <si>
    <t>Croissance annuelle intensité numérique hors IA – hors finance</t>
  </si>
  <si>
    <t>Surcouche IA 2035 – public</t>
  </si>
  <si>
    <t>%</t>
  </si>
  <si>
    <t>Surcouche IA 2035 – finance</t>
  </si>
  <si>
    <t>Surcouche IA 2035 – hors finance</t>
  </si>
  <si>
    <t>W IT / salarié finance – 2026</t>
  </si>
  <si>
    <t>W / salarié</t>
  </si>
  <si>
    <t>W IT / salarié hors finance – 2026</t>
  </si>
  <si>
    <t>W IT / agent public – socle non-métier DSP</t>
  </si>
  <si>
    <t>W / agent</t>
  </si>
  <si>
    <t>Part adressable Monaco – public / CHPG / DSP / MT</t>
  </si>
  <si>
    <t>Convention projet</t>
  </si>
  <si>
    <t>Part adressable Monaco – finance</t>
  </si>
  <si>
    <t>Part adressable Monaco – privé hors finance</t>
  </si>
  <si>
    <t>Part adressable Monaco – surcouche IA public</t>
  </si>
  <si>
    <t>Externalisée / hybride / locale</t>
  </si>
  <si>
    <t>Part adressable Monaco – surcouche IA finance</t>
  </si>
  <si>
    <t>Part adressable Monaco – surcouche IA hors finance</t>
  </si>
  <si>
    <t>C.</t>
  </si>
  <si>
    <t>Hypothèses DSP – applications métier (vidéo)</t>
  </si>
  <si>
    <t>Valeur</t>
  </si>
  <si>
    <t>Type</t>
  </si>
  <si>
    <t>Caméras 2026</t>
  </si>
  <si>
    <t>caméras</t>
  </si>
  <si>
    <t>Input</t>
  </si>
  <si>
    <t>Donnée équipe projet</t>
  </si>
  <si>
    <t>Ajout annuel de caméras</t>
  </si>
  <si>
    <t>caméras / an</t>
  </si>
  <si>
    <t>Caméras 2035</t>
  </si>
  <si>
    <t>Formule</t>
  </si>
  <si>
    <t>2026 + 9 × ajout annuel</t>
  </si>
  <si>
    <t>Résolution actuelle</t>
  </si>
  <si>
    <t>MP</t>
  </si>
  <si>
    <t>Résolution cible 2035</t>
  </si>
  <si>
    <t>Donnée équipe projet – 4K</t>
  </si>
  <si>
    <t>Facteur bitrate 8MP / 2MP</t>
  </si>
  <si>
    <t>x</t>
  </si>
  <si>
    <t>Benchmark</t>
  </si>
  <si>
    <t>Axis H.265, 24–30 fps : 2.53 / 0.64 Mb/s</t>
  </si>
  <si>
    <t>D.</t>
  </si>
  <si>
    <t>Hypothèses CHPG</t>
  </si>
  <si>
    <t>Croissance annuelle activité CHPG</t>
  </si>
  <si>
    <t>Surcroît métier santé / digitalisation 2035</t>
  </si>
  <si>
    <t>E. Sources principales</t>
  </si>
  <si>
    <t>IMSEE – Monaco en chiffres 2025</t>
  </si>
  <si>
    <t>https://www.imsee.mc/Publications/Monaco-en-chiffres-edition-2025</t>
  </si>
  <si>
    <t>Effectifs privés / finance – données 2024</t>
  </si>
  <si>
    <t>IMSEE – Emploi</t>
  </si>
  <si>
    <t>https://www.imsee.mc/Population-et-emploi/Emploi</t>
  </si>
  <si>
    <t>Effectifs salariés privé / public</t>
  </si>
  <si>
    <t>Axis – Surveillance Card selector</t>
  </si>
  <si>
    <t>https://www.axis.com/en-be/products/axis-surveillance-card-256-gb</t>
  </si>
  <si>
    <t>Bitrates indicatifs 2MP / 8MP H.265</t>
  </si>
  <si>
    <t>Cisco – Green Office Design</t>
  </si>
  <si>
    <t>https://www.cisco.com/c/dam/en_us/about/ciscoitatwork/downloads/ciscoitatwork/pdf/Cisco_IT_Case_Study_Green_Office_Design.pdf</t>
  </si>
  <si>
    <t>Contexte énergie IT de bureau ; non utilisé comme ratio DC direct</t>
  </si>
  <si>
    <t>Calculs</t>
  </si>
  <si>
    <t>Baseline besoins d'hébergement 2026</t>
  </si>
  <si>
    <t>Métier 2026</t>
  </si>
  <si>
    <t>Non-métier 2026 (kW)</t>
  </si>
  <si>
    <t>Monaco Telecom</t>
  </si>
  <si>
    <t>TOTAL</t>
  </si>
  <si>
    <t>Effectifs / driver</t>
  </si>
  <si>
    <t>W IT / utilisateur</t>
  </si>
  <si>
    <t>Commentaire</t>
  </si>
  <si>
    <t>W IT / Utilisateur</t>
  </si>
  <si>
    <t>DSP : résiduel vidéo après socle agents</t>
  </si>
  <si>
    <t>n.a.</t>
  </si>
  <si>
    <t>Projection générique public</t>
  </si>
  <si>
    <t>CHPG : activité + intensité + digitalisation métier</t>
  </si>
  <si>
    <t>Besoins propres uniquement</t>
  </si>
  <si>
    <t>Effectifs × W/salarié</t>
  </si>
  <si>
    <t>Hypothèses par scénario</t>
  </si>
  <si>
    <t>W</t>
  </si>
  <si>
    <t>Projection 2035 – besoin IT généré et demande adressable</t>
  </si>
  <si>
    <t>1.</t>
  </si>
  <si>
    <t>Scénario bas</t>
  </si>
  <si>
    <t>Croissance activité / effectifs</t>
  </si>
  <si>
    <t>Croissance intensité</t>
  </si>
  <si>
    <t>Facteur de croissance métier</t>
  </si>
  <si>
    <t>Besoin hors IA 2035</t>
  </si>
  <si>
    <t>Surcouche IA</t>
  </si>
  <si>
    <t>Besoin IA</t>
  </si>
  <si>
    <t>Besoin total 2035</t>
  </si>
  <si>
    <t>Adressable socle [%]</t>
  </si>
  <si>
    <t>Adressable IA [%]</t>
  </si>
  <si>
    <t>Demande adressable 2035 [kW IT]</t>
  </si>
  <si>
    <t>Demande adressable 2035 [MW IT]</t>
  </si>
  <si>
    <t>2.</t>
  </si>
  <si>
    <t>Scénario central</t>
  </si>
  <si>
    <t>3.</t>
  </si>
  <si>
    <t>Output – projection des besoins IT à horizon 2035</t>
  </si>
  <si>
    <t>Comparaison des trois scénarios | Besoin généré vs demande adressable à Monaco</t>
  </si>
  <si>
    <t>A. Synthèse des trois scénarios</t>
  </si>
  <si>
    <t>Indicateur</t>
  </si>
  <si>
    <t>Bas</t>
  </si>
  <si>
    <t>Central</t>
  </si>
  <si>
    <t>Haut</t>
  </si>
  <si>
    <t>Besoin IT total généré 2026 (MW IT)</t>
  </si>
  <si>
    <t>Besoin IT total généré 2035 (MW IT)</t>
  </si>
  <si>
    <t>Demande adressable Monaco 2035 (MW IT)</t>
  </si>
  <si>
    <t>Taux adressable moyen</t>
  </si>
  <si>
    <t>Croissance besoin généré 2026–2035 (x)</t>
  </si>
  <si>
    <t>B. Demande adressable 2035 par bloc d'entités</t>
  </si>
  <si>
    <t>DENJS + APDP + DITN</t>
  </si>
  <si>
    <t>Ctrl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</si>
</sst>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8">
    <numFmt numFmtId="164" formatCode="#,##0.0;[Red]\(#,##0.0\);\-"/>
    <numFmt numFmtId="165" formatCode="#,##0;[Red]\(#,##0\);\-"/>
    <numFmt numFmtId="166" formatCode="0.0%;[Red]\(0.0%\);\-"/>
    <numFmt numFmtId="167" formatCode="0.00\x"/>
    <numFmt numFmtId="168" formatCode="0.0%"/>
    <numFmt numFmtId="169" formatCode="#,##0.0"/>
    <numFmt numFmtId="170" formatCode="#,##0.0;[Red]#,##0.0"/>
    <numFmt numFmtId="171" formatCode="0.0\x"/>
  </numFmts>
  <fonts count="27">
    <font>
      <sz val="11"/>
      <name val="Carlito"/>
    </font>
    <font>
      <sz val="11"/>
      <color theme="1"/>
      <name val="Calibri"/>
      <family val="2"/>
      <scheme val="minor"/>
    </font>
    <font>
      <sz val="11"/>
      <name val="Carlito"/>
    </font>
    <font>
      <sz val="11"/>
      <name val="RB Office"/>
    </font>
    <font>
      <sz val="10"/>
      <name val="RB Office"/>
    </font>
    <font>
      <b/>
      <sz val="10"/>
      <color rgb="FFFFFFFF"/>
      <name val="RB Office"/>
    </font>
    <font>
      <i/>
      <sz val="10"/>
      <color rgb="FF666666"/>
      <name val="RB Office"/>
    </font>
    <font>
      <b/>
      <sz val="10"/>
      <name val="RB Office"/>
    </font>
    <font>
      <sz val="10"/>
      <color rgb="FF008000"/>
      <name val="RB Office"/>
    </font>
    <font>
      <sz val="10"/>
      <color rgb="FF0000FF"/>
      <name val="RB Office"/>
    </font>
    <font>
      <sz val="10"/>
      <color rgb="FF7030A0"/>
      <name val="RB Office"/>
    </font>
    <font>
      <sz val="10"/>
      <color rgb="FF000000"/>
      <name val="RB Office"/>
    </font>
    <font>
      <sz val="10"/>
      <color rgb="FF0070C0"/>
      <name val="RB Office"/>
    </font>
    <font>
      <i/>
      <sz val="10"/>
      <name val="RB Office"/>
    </font>
    <font>
      <i/>
      <sz val="10"/>
      <color theme="1" tint="0.499984740745262"/>
      <name val="RB Office"/>
    </font>
    <font>
      <sz val="11"/>
      <name val="Calibri"/>
      <family val="2"/>
    </font>
    <font>
      <sz val="27"/>
      <name val="Calibri Light"/>
      <family val="2"/>
      <scheme val="major"/>
    </font>
    <font>
      <sz val="21"/>
      <color theme="3"/>
      <name val="Arial Narrow"/>
      <family val="2"/>
    </font>
    <font>
      <sz val="11"/>
      <color theme="1"/>
      <name val="RB Office"/>
    </font>
    <font>
      <sz val="36"/>
      <name val="RB Office"/>
    </font>
    <font>
      <sz val="27"/>
      <name val="RB Office"/>
    </font>
    <font>
      <sz val="21"/>
      <color theme="3"/>
      <name val="RB Office"/>
    </font>
    <font>
      <sz val="10"/>
      <color theme="1"/>
      <name val="RB Office"/>
    </font>
    <font>
      <sz val="40"/>
      <color theme="1"/>
      <name val="RB Office"/>
    </font>
    <font>
      <b/>
      <sz val="18"/>
      <name val="RB Office"/>
    </font>
    <font>
      <sz val="12"/>
      <color theme="1"/>
      <name val="RB Office"/>
    </font>
    <font>
      <u/>
      <sz val="11"/>
      <color theme="10"/>
      <name val="Carlito"/>
    </font>
  </fonts>
  <fills count="9">
    <fill>
      <patternFill patternType="none"/>
    </fill>
    <fill>
      <patternFill patternType="gray125"/>
    </fill>
    <fill>
      <patternFill patternType="solid">
        <fgColor rgb="FF17365D"/>
      </patternFill>
    </fill>
    <fill>
      <patternFill patternType="solid">
        <fgColor rgb="FF1F4E78"/>
      </patternFill>
    </fill>
    <fill>
      <patternFill patternType="solid">
        <fgColor rgb="FFFFF2CC"/>
      </patternFill>
    </fill>
    <fill>
      <patternFill patternType="solid">
        <fgColor rgb="FFFFFF00"/>
        <bgColor indexed="64"/>
      </patternFill>
    </fill>
    <fill>
      <patternFill patternType="solid">
        <fgColor theme="7"/>
        <bgColor indexed="64"/>
      </patternFill>
    </fill>
    <fill>
      <patternFill patternType="solid">
        <fgColor theme="5" tint="0.79998168889431442"/>
        <bgColor indexed="64"/>
      </patternFill>
    </fill>
    <fill>
      <patternFill patternType="solid">
        <fgColor theme="6"/>
        <bgColor indexed="64"/>
      </patternFill>
    </fill>
  </fills>
  <borders count="7">
    <border>
      <left/>
      <right/>
      <top/>
      <bottom/>
      <diagonal/>
    </border>
    <border>
      <left/>
      <right/>
      <top/>
      <bottom/>
      <diagonal/>
    </border>
    <border>
      <left/>
      <right/>
      <top style="thin">
        <color rgb="FF17365D"/>
      </top>
      <bottom/>
      <diagonal/>
    </border>
    <border>
      <left/>
      <right/>
      <top/>
      <bottom style="double">
        <color indexed="64"/>
      </bottom>
      <diagonal/>
    </border>
    <border>
      <left/>
      <right/>
      <top style="thin">
        <color indexed="64"/>
      </top>
      <bottom style="medium">
        <color indexed="64"/>
      </bottom>
      <diagonal/>
    </border>
    <border>
      <left/>
      <right/>
      <top/>
      <bottom style="thin">
        <color indexed="64"/>
      </bottom>
      <diagonal/>
    </border>
    <border>
      <left/>
      <right/>
      <top style="thin">
        <color indexed="64"/>
      </top>
      <bottom/>
      <diagonal/>
    </border>
  </borders>
  <cellStyleXfs count="8">
    <xf numFmtId="0" fontId="0" fillId="0" borderId="0"/>
    <xf numFmtId="9" fontId="2" fillId="0" borderId="0" applyFont="0" applyFill="0" applyBorder="0" applyAlignment="0" applyProtection="0"/>
    <xf numFmtId="0" fontId="1" fillId="0" borderId="1"/>
    <xf numFmtId="0" fontId="1" fillId="0" borderId="1"/>
    <xf numFmtId="0" fontId="15" fillId="0" borderId="1"/>
    <xf numFmtId="49" fontId="16" fillId="0" borderId="1">
      <alignment horizontal="left" vertical="top"/>
    </xf>
    <xf numFmtId="0" fontId="17" fillId="0" borderId="1">
      <alignment horizontal="left" vertical="top"/>
    </xf>
    <xf numFmtId="0" fontId="26" fillId="0" borderId="0" applyNumberFormat="0" applyFill="0" applyBorder="0" applyAlignment="0" applyProtection="0"/>
  </cellStyleXfs>
  <cellXfs count="75">
    <xf numFmtId="0" fontId="0" fillId="0" borderId="0" xfId="0"/>
    <xf numFmtId="0" fontId="3" fillId="0" borderId="0" xfId="0" applyFont="1"/>
    <xf numFmtId="0" fontId="4" fillId="0" borderId="0" xfId="0" applyFont="1"/>
    <xf numFmtId="0" fontId="5" fillId="3" borderId="0" xfId="0" applyFont="1" applyFill="1"/>
    <xf numFmtId="2" fontId="4" fillId="0" borderId="0" xfId="0" applyNumberFormat="1" applyFont="1"/>
    <xf numFmtId="0" fontId="7" fillId="0" borderId="2" xfId="0" applyFont="1" applyBorder="1"/>
    <xf numFmtId="2" fontId="7" fillId="0" borderId="2" xfId="0" applyNumberFormat="1" applyFont="1" applyBorder="1"/>
    <xf numFmtId="168" fontId="8" fillId="0" borderId="0" xfId="0" applyNumberFormat="1" applyFont="1"/>
    <xf numFmtId="164" fontId="4" fillId="0" borderId="0" xfId="0" applyNumberFormat="1" applyFont="1"/>
    <xf numFmtId="164" fontId="9" fillId="0" borderId="0" xfId="0" applyNumberFormat="1" applyFont="1"/>
    <xf numFmtId="165" fontId="9" fillId="0" borderId="0" xfId="0" applyNumberFormat="1" applyFont="1"/>
    <xf numFmtId="166" fontId="10" fillId="4" borderId="0" xfId="0" applyNumberFormat="1" applyFont="1" applyFill="1"/>
    <xf numFmtId="0" fontId="9" fillId="0" borderId="0" xfId="0" applyFont="1"/>
    <xf numFmtId="0" fontId="11" fillId="0" borderId="0" xfId="0" applyFont="1"/>
    <xf numFmtId="3" fontId="4" fillId="0" borderId="0" xfId="0" applyNumberFormat="1" applyFont="1"/>
    <xf numFmtId="9" fontId="4" fillId="0" borderId="0" xfId="1" applyFont="1"/>
    <xf numFmtId="169" fontId="7" fillId="0" borderId="2" xfId="0" applyNumberFormat="1" applyFont="1" applyBorder="1"/>
    <xf numFmtId="1" fontId="8" fillId="0" borderId="0" xfId="1" applyNumberFormat="1" applyFont="1"/>
    <xf numFmtId="3" fontId="4" fillId="0" borderId="3" xfId="0" applyNumberFormat="1" applyFont="1" applyBorder="1"/>
    <xf numFmtId="0" fontId="5" fillId="0" borderId="0" xfId="0" applyFont="1"/>
    <xf numFmtId="0" fontId="3" fillId="0" borderId="3" xfId="0" applyFont="1" applyBorder="1"/>
    <xf numFmtId="3" fontId="7" fillId="0" borderId="0" xfId="0" applyNumberFormat="1" applyFont="1"/>
    <xf numFmtId="3" fontId="7" fillId="0" borderId="4" xfId="0" applyNumberFormat="1" applyFont="1" applyBorder="1"/>
    <xf numFmtId="171" fontId="4" fillId="0" borderId="0" xfId="0" applyNumberFormat="1" applyFont="1"/>
    <xf numFmtId="0" fontId="4" fillId="0" borderId="3" xfId="0" applyFont="1" applyBorder="1"/>
    <xf numFmtId="164" fontId="9" fillId="0" borderId="3" xfId="0" applyNumberFormat="1" applyFont="1" applyBorder="1"/>
    <xf numFmtId="165" fontId="9" fillId="0" borderId="3" xfId="0" applyNumberFormat="1" applyFont="1" applyBorder="1"/>
    <xf numFmtId="166" fontId="10" fillId="4" borderId="3" xfId="0" applyNumberFormat="1" applyFont="1" applyFill="1" applyBorder="1"/>
    <xf numFmtId="167" fontId="10" fillId="4" borderId="3" xfId="0" applyNumberFormat="1" applyFont="1" applyFill="1" applyBorder="1"/>
    <xf numFmtId="0" fontId="9" fillId="0" borderId="3" xfId="0" applyFont="1" applyBorder="1"/>
    <xf numFmtId="171" fontId="4" fillId="5" borderId="0" xfId="0" applyNumberFormat="1" applyFont="1" applyFill="1"/>
    <xf numFmtId="171" fontId="12" fillId="0" borderId="0" xfId="0" applyNumberFormat="1" applyFont="1"/>
    <xf numFmtId="0" fontId="13" fillId="0" borderId="0" xfId="0" applyFont="1"/>
    <xf numFmtId="167" fontId="13" fillId="0" borderId="0" xfId="0" applyNumberFormat="1" applyFont="1"/>
    <xf numFmtId="168" fontId="13" fillId="0" borderId="0" xfId="0" applyNumberFormat="1" applyFont="1"/>
    <xf numFmtId="2" fontId="4" fillId="0" borderId="3" xfId="0" applyNumberFormat="1" applyFont="1" applyBorder="1"/>
    <xf numFmtId="0" fontId="7" fillId="0" borderId="1" xfId="0" applyFont="1" applyBorder="1"/>
    <xf numFmtId="169" fontId="7" fillId="0" borderId="1" xfId="0" applyNumberFormat="1" applyFont="1" applyBorder="1"/>
    <xf numFmtId="9" fontId="4" fillId="0" borderId="0" xfId="1" applyFont="1" applyFill="1"/>
    <xf numFmtId="0" fontId="14" fillId="0" borderId="0" xfId="0" applyFont="1"/>
    <xf numFmtId="0" fontId="18" fillId="0" borderId="1" xfId="2" applyFont="1"/>
    <xf numFmtId="0" fontId="18" fillId="0" borderId="1" xfId="3" applyFont="1"/>
    <xf numFmtId="0" fontId="3" fillId="0" borderId="1" xfId="4" applyFont="1"/>
    <xf numFmtId="0" fontId="3" fillId="0" borderId="1" xfId="2" applyFont="1"/>
    <xf numFmtId="49" fontId="19" fillId="0" borderId="1" xfId="5" applyFont="1">
      <alignment horizontal="left" vertical="top"/>
    </xf>
    <xf numFmtId="49" fontId="20" fillId="0" borderId="1" xfId="5" applyFont="1" applyAlignment="1">
      <alignment horizontal="left"/>
    </xf>
    <xf numFmtId="0" fontId="21" fillId="0" borderId="1" xfId="6" applyFont="1" applyAlignment="1">
      <alignment horizontal="left"/>
    </xf>
    <xf numFmtId="0" fontId="21" fillId="0" borderId="1" xfId="6" applyFont="1">
      <alignment horizontal="left" vertical="top"/>
    </xf>
    <xf numFmtId="0" fontId="18" fillId="0" borderId="5" xfId="2" applyFont="1" applyBorder="1"/>
    <xf numFmtId="0" fontId="18" fillId="0" borderId="5" xfId="3" applyFont="1" applyBorder="1"/>
    <xf numFmtId="0" fontId="3" fillId="6" borderId="1" xfId="4" applyFont="1" applyFill="1"/>
    <xf numFmtId="0" fontId="3" fillId="6" borderId="6" xfId="4" applyFont="1" applyFill="1" applyBorder="1"/>
    <xf numFmtId="0" fontId="18" fillId="7" borderId="1" xfId="2" applyFont="1" applyFill="1"/>
    <xf numFmtId="3" fontId="8" fillId="0" borderId="0" xfId="0" applyNumberFormat="1" applyFont="1"/>
    <xf numFmtId="3" fontId="8" fillId="0" borderId="3" xfId="0" applyNumberFormat="1" applyFont="1" applyBorder="1"/>
    <xf numFmtId="3" fontId="9" fillId="0" borderId="0" xfId="0" applyNumberFormat="1" applyFont="1"/>
    <xf numFmtId="3" fontId="9" fillId="0" borderId="3" xfId="0" applyNumberFormat="1" applyFont="1" applyBorder="1"/>
    <xf numFmtId="0" fontId="22" fillId="7" borderId="0" xfId="0" applyFont="1" applyFill="1" applyAlignment="1">
      <alignment vertical="top"/>
    </xf>
    <xf numFmtId="0" fontId="22" fillId="7" borderId="0" xfId="0" applyFont="1" applyFill="1" applyAlignment="1">
      <alignment horizontal="right" vertical="top"/>
    </xf>
    <xf numFmtId="0" fontId="23" fillId="7" borderId="0" xfId="0" applyFont="1" applyFill="1" applyAlignment="1">
      <alignment vertical="top"/>
    </xf>
    <xf numFmtId="0" fontId="24" fillId="7" borderId="1" xfId="6" applyFont="1" applyFill="1">
      <alignment horizontal="left" vertical="top"/>
    </xf>
    <xf numFmtId="0" fontId="25" fillId="7" borderId="0" xfId="0" applyFont="1" applyFill="1" applyAlignment="1">
      <alignment horizontal="right" vertical="top"/>
    </xf>
    <xf numFmtId="0" fontId="25" fillId="7" borderId="0" xfId="0" applyFont="1" applyFill="1" applyAlignment="1">
      <alignment vertical="top"/>
    </xf>
    <xf numFmtId="0" fontId="23" fillId="7" borderId="5" xfId="0" applyFont="1" applyFill="1" applyBorder="1" applyAlignment="1">
      <alignment vertical="top"/>
    </xf>
    <xf numFmtId="0" fontId="25" fillId="7" borderId="5" xfId="0" applyFont="1" applyFill="1" applyBorder="1" applyAlignment="1">
      <alignment horizontal="right" vertical="top"/>
    </xf>
    <xf numFmtId="0" fontId="25" fillId="7" borderId="5" xfId="0" applyFont="1" applyFill="1" applyBorder="1" applyAlignment="1">
      <alignment vertical="top"/>
    </xf>
    <xf numFmtId="0" fontId="22" fillId="7" borderId="5" xfId="0" applyFont="1" applyFill="1" applyBorder="1" applyAlignment="1">
      <alignment vertical="top"/>
    </xf>
    <xf numFmtId="0" fontId="26" fillId="0" borderId="3" xfId="7" applyBorder="1"/>
    <xf numFmtId="0" fontId="5" fillId="2" borderId="0" xfId="0" applyFont="1" applyFill="1"/>
    <xf numFmtId="0" fontId="6" fillId="0" borderId="0" xfId="0" applyFont="1"/>
    <xf numFmtId="0" fontId="5" fillId="8" borderId="0" xfId="0" applyFont="1" applyFill="1"/>
    <xf numFmtId="164" fontId="3" fillId="0" borderId="0" xfId="0" applyNumberFormat="1" applyFont="1"/>
    <xf numFmtId="170" fontId="3" fillId="0" borderId="0" xfId="0" applyNumberFormat="1" applyFont="1"/>
    <xf numFmtId="164" fontId="10" fillId="5" borderId="0" xfId="0" applyNumberFormat="1" applyFont="1" applyFill="1"/>
    <xf numFmtId="0" fontId="5" fillId="3" borderId="0" xfId="0" applyFont="1" applyFill="1"/>
  </cellXfs>
  <cellStyles count="8">
    <cellStyle name="Action Title" xfId="5" xr:uid="{ABC2F388-3774-47A2-B301-8BEAEE346D4A}"/>
    <cellStyle name="Hyperlink" xfId="7" builtinId="8"/>
    <cellStyle name="Normal" xfId="0" builtinId="0"/>
    <cellStyle name="Normal 11" xfId="4" xr:uid="{7CD71DAF-935C-46CD-8851-25EB3E02973F}"/>
    <cellStyle name="Normal 24" xfId="2" xr:uid="{B311A80E-396E-4093-B62D-50741E785FFC}"/>
    <cellStyle name="Normal 7" xfId="3" xr:uid="{94D339FA-EB01-4E06-9A1D-85B31F73ACC1}"/>
    <cellStyle name="Percent" xfId="1" builtinId="5"/>
    <cellStyle name="Subtitle" xfId="6" xr:uid="{88F682E3-B089-4AC2-A840-D879A43BFB1E}"/>
  </cellStyles>
  <dxfs count="0"/>
  <tableStyles count="0" defaultTableStyle="TableStyleMedium2" defaultPivotStyle="PivotStyleLight16"/>
  <colors>
    <mruColors>
      <color rgb="FF0000FF"/>
      <color rgb="FF008000"/>
    </mruColors>
  </colors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calcChain" Target="calcChain.xml"/><Relationship Id="rId3" Type="http://schemas.openxmlformats.org/officeDocument/2006/relationships/worksheet" Target="worksheets/sheet3.xml"/><Relationship Id="rId7" Type="http://schemas.openxmlformats.org/officeDocument/2006/relationships/sharedStrings" Target="sharedStrings.xml"/><Relationship Id="rId2" Type="http://schemas.openxmlformats.org/officeDocument/2006/relationships/worksheet" Target="worksheets/sheet2.xml"/><Relationship Id="rId1" Type="http://schemas.openxmlformats.org/officeDocument/2006/relationships/worksheet" Target="worksheets/sheet1.xml"/><Relationship Id="rId6" Type="http://schemas.openxmlformats.org/officeDocument/2006/relationships/styles" Target="styles.xml"/><Relationship Id="rId11" Type="http://schemas.openxmlformats.org/officeDocument/2006/relationships/customXml" Target="../customXml/item3.xml"/><Relationship Id="rId5" Type="http://schemas.openxmlformats.org/officeDocument/2006/relationships/theme" Target="theme/theme1.xml"/><Relationship Id="rId10" Type="http://schemas.openxmlformats.org/officeDocument/2006/relationships/customXml" Target="../customXml/item2.xml"/><Relationship Id="rId4" Type="http://schemas.openxmlformats.org/officeDocument/2006/relationships/worksheet" Target="worksheets/sheet4.xml"/><Relationship Id="rId9" Type="http://schemas.openxmlformats.org/officeDocument/2006/relationships/customXml" Target="../customXml/item1.xml"/></Relationships>
</file>

<file path=xl/charts/chart1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en-US"/>
  <c:roundedCorners val="0"/>
  <c:style val="2"/>
  <c:chart>
    <c:title>
      <c:tx>
        <c:rich>
          <a:bodyPr/>
          <a:lstStyle/>
          <a:p>
            <a:r>
              <a:rPr lang="en-US"/>
              <a:t>Demande adressable à Monaco en 2035 (MW IT)</a:t>
            </a:r>
          </a:p>
        </c:rich>
      </c:tx>
      <c:overlay val="1"/>
    </c:title>
    <c:autoTitleDeleted val="0"/>
    <c:plotArea>
      <c:layout/>
      <c:barChart>
        <c:barDir val="col"/>
        <c:grouping val="clustered"/>
        <c:varyColors val="0"/>
        <c:ser>
          <c:idx val="0"/>
          <c:order val="0"/>
          <c:tx>
            <c:strRef>
              <c:f>'3_Output'!$C$18</c:f>
              <c:strCache>
                <c:ptCount val="1"/>
                <c:pt idx="0">
                  <c:v>Bas</c:v>
                </c:pt>
              </c:strCache>
            </c:strRef>
          </c:tx>
          <c:invertIfNegative val="1"/>
          <c:dLbls>
            <c:spPr>
              <a:noFill/>
              <a:ln>
                <a:noFill/>
              </a:ln>
              <a:effectLst/>
            </c:spPr>
            <c:showLegendKey val="0"/>
            <c:showVal val="1"/>
            <c:showCatName val="0"/>
            <c:showSerName val="0"/>
            <c:showPercent val="0"/>
            <c:showBubbleSize val="0"/>
            <c:showLeaderLines val="0"/>
            <c:extLst>
              <c:ext xmlns:c15="http://schemas.microsoft.com/office/drawing/2012/chart" uri="{CE6537A1-D6FC-4f65-9D91-7224C49458BB}">
                <c15:showLeaderLines val="1"/>
              </c:ext>
            </c:extLst>
          </c:dLbls>
          <c:cat>
            <c:strRef>
              <c:f>'3_Output'!$B$19:$B$25</c:f>
              <c:strCache>
                <c:ptCount val="7"/>
                <c:pt idx="0">
                  <c:v>DSP</c:v>
                </c:pt>
                <c:pt idx="1">
                  <c:v>DENJS + APDP + DITN</c:v>
                </c:pt>
                <c:pt idx="2">
                  <c:v>CHPG</c:v>
                </c:pt>
                <c:pt idx="3">
                  <c:v>Monaco Telecom</c:v>
                </c:pt>
                <c:pt idx="4">
                  <c:v>Finance</c:v>
                </c:pt>
                <c:pt idx="5">
                  <c:v>Privé hors finance</c:v>
                </c:pt>
                <c:pt idx="6">
                  <c:v>TOTAL</c:v>
                </c:pt>
              </c:strCache>
            </c:strRef>
          </c:cat>
          <c:val>
            <c:numRef>
              <c:f>'3_Output'!$C$19:$C$25</c:f>
              <c:numCache>
                <c:formatCode>0.00</c:formatCode>
                <c:ptCount val="7"/>
                <c:pt idx="0">
                  <c:v>7.5629922912243943</c:v>
                </c:pt>
                <c:pt idx="1">
                  <c:v>0.12100312257300898</c:v>
                </c:pt>
                <c:pt idx="2">
                  <c:v>0.12565758549425979</c:v>
                </c:pt>
                <c:pt idx="3">
                  <c:v>0.31227768818100982</c:v>
                </c:pt>
                <c:pt idx="4">
                  <c:v>0.16907877207187588</c:v>
                </c:pt>
                <c:pt idx="5">
                  <c:v>0.21051316577768281</c:v>
                </c:pt>
                <c:pt idx="6">
                  <c:v>8.5015226253222291</c:v>
                </c:pt>
              </c:numCache>
            </c:numRef>
          </c:val>
          <c:extLst>
            <c:ext xmlns:c16="http://schemas.microsoft.com/office/drawing/2014/chart" uri="{C3380CC4-5D6E-409C-BE32-E72D297353CC}">
              <c16:uniqueId val="{00000000-ED85-4E42-9C0A-55DA60DEAFFE}"/>
            </c:ext>
          </c:extLst>
        </c:ser>
        <c:ser>
          <c:idx val="1"/>
          <c:order val="1"/>
          <c:tx>
            <c:strRef>
              <c:f>'3_Output'!$D$18</c:f>
              <c:strCache>
                <c:ptCount val="1"/>
                <c:pt idx="0">
                  <c:v>Central</c:v>
                </c:pt>
              </c:strCache>
            </c:strRef>
          </c:tx>
          <c:invertIfNegative val="1"/>
          <c:dLbls>
            <c:spPr>
              <a:noFill/>
              <a:ln>
                <a:noFill/>
              </a:ln>
              <a:effectLst/>
            </c:spPr>
            <c:showLegendKey val="0"/>
            <c:showVal val="1"/>
            <c:showCatName val="0"/>
            <c:showSerName val="0"/>
            <c:showPercent val="0"/>
            <c:showBubbleSize val="0"/>
            <c:showLeaderLines val="0"/>
            <c:extLst>
              <c:ext xmlns:c15="http://schemas.microsoft.com/office/drawing/2012/chart" uri="{CE6537A1-D6FC-4f65-9D91-7224C49458BB}">
                <c15:showLeaderLines val="1"/>
              </c:ext>
            </c:extLst>
          </c:dLbls>
          <c:cat>
            <c:strRef>
              <c:f>'3_Output'!$B$19:$B$25</c:f>
              <c:strCache>
                <c:ptCount val="7"/>
                <c:pt idx="0">
                  <c:v>DSP</c:v>
                </c:pt>
                <c:pt idx="1">
                  <c:v>DENJS + APDP + DITN</c:v>
                </c:pt>
                <c:pt idx="2">
                  <c:v>CHPG</c:v>
                </c:pt>
                <c:pt idx="3">
                  <c:v>Monaco Telecom</c:v>
                </c:pt>
                <c:pt idx="4">
                  <c:v>Finance</c:v>
                </c:pt>
                <c:pt idx="5">
                  <c:v>Privé hors finance</c:v>
                </c:pt>
                <c:pt idx="6">
                  <c:v>TOTAL</c:v>
                </c:pt>
              </c:strCache>
            </c:strRef>
          </c:cat>
          <c:val>
            <c:numRef>
              <c:f>'3_Output'!$D$19:$D$25</c:f>
              <c:numCache>
                <c:formatCode>0.00</c:formatCode>
                <c:ptCount val="7"/>
                <c:pt idx="0">
                  <c:v>8.1479165167807555</c:v>
                </c:pt>
                <c:pt idx="1">
                  <c:v>0.16226360014168051</c:v>
                </c:pt>
                <c:pt idx="2">
                  <c:v>0.20561303865520011</c:v>
                </c:pt>
                <c:pt idx="3">
                  <c:v>0.40446807484857428</c:v>
                </c:pt>
                <c:pt idx="4">
                  <c:v>0.44007466198651496</c:v>
                </c:pt>
                <c:pt idx="5">
                  <c:v>0.61185584239846225</c:v>
                </c:pt>
                <c:pt idx="6">
                  <c:v>9.9721917348111866</c:v>
                </c:pt>
              </c:numCache>
            </c:numRef>
          </c:val>
          <c:extLst>
            <c:ext xmlns:c16="http://schemas.microsoft.com/office/drawing/2014/chart" uri="{C3380CC4-5D6E-409C-BE32-E72D297353CC}">
              <c16:uniqueId val="{00000001-ED85-4E42-9C0A-55DA60DEAFFE}"/>
            </c:ext>
          </c:extLst>
        </c:ser>
        <c:ser>
          <c:idx val="2"/>
          <c:order val="2"/>
          <c:tx>
            <c:strRef>
              <c:f>'3_Output'!$E$18</c:f>
              <c:strCache>
                <c:ptCount val="1"/>
                <c:pt idx="0">
                  <c:v>Haut</c:v>
                </c:pt>
              </c:strCache>
            </c:strRef>
          </c:tx>
          <c:invertIfNegative val="1"/>
          <c:dLbls>
            <c:spPr>
              <a:noFill/>
              <a:ln>
                <a:noFill/>
              </a:ln>
              <a:effectLst/>
            </c:spPr>
            <c:showLegendKey val="0"/>
            <c:showVal val="1"/>
            <c:showCatName val="0"/>
            <c:showSerName val="0"/>
            <c:showPercent val="0"/>
            <c:showBubbleSize val="0"/>
            <c:showLeaderLines val="0"/>
            <c:extLst>
              <c:ext xmlns:c15="http://schemas.microsoft.com/office/drawing/2012/chart" uri="{CE6537A1-D6FC-4f65-9D91-7224C49458BB}">
                <c15:showLeaderLines val="1"/>
              </c:ext>
            </c:extLst>
          </c:dLbls>
          <c:cat>
            <c:strRef>
              <c:f>'3_Output'!$B$19:$B$25</c:f>
              <c:strCache>
                <c:ptCount val="7"/>
                <c:pt idx="0">
                  <c:v>DSP</c:v>
                </c:pt>
                <c:pt idx="1">
                  <c:v>DENJS + APDP + DITN</c:v>
                </c:pt>
                <c:pt idx="2">
                  <c:v>CHPG</c:v>
                </c:pt>
                <c:pt idx="3">
                  <c:v>Monaco Telecom</c:v>
                </c:pt>
                <c:pt idx="4">
                  <c:v>Finance</c:v>
                </c:pt>
                <c:pt idx="5">
                  <c:v>Privé hors finance</c:v>
                </c:pt>
                <c:pt idx="6">
                  <c:v>TOTAL</c:v>
                </c:pt>
              </c:strCache>
            </c:strRef>
          </c:cat>
          <c:val>
            <c:numRef>
              <c:f>'3_Output'!$E$19:$E$25</c:f>
              <c:numCache>
                <c:formatCode>0.00</c:formatCode>
                <c:ptCount val="7"/>
                <c:pt idx="0">
                  <c:v>9.7264937088458758</c:v>
                </c:pt>
                <c:pt idx="1">
                  <c:v>0.24020857327627559</c:v>
                </c:pt>
                <c:pt idx="2">
                  <c:v>0.53661715660799991</c:v>
                </c:pt>
                <c:pt idx="3">
                  <c:v>0.5668922329320103</c:v>
                </c:pt>
                <c:pt idx="4">
                  <c:v>1.0149549868928383</c:v>
                </c:pt>
                <c:pt idx="5">
                  <c:v>1.6428936026152947</c:v>
                </c:pt>
                <c:pt idx="6">
                  <c:v>13.728060261170295</c:v>
                </c:pt>
              </c:numCache>
            </c:numRef>
          </c:val>
          <c:extLst>
            <c:ext xmlns:c16="http://schemas.microsoft.com/office/drawing/2014/chart" uri="{C3380CC4-5D6E-409C-BE32-E72D297353CC}">
              <c16:uniqueId val="{00000002-ED85-4E42-9C0A-55DA60DEAFFE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</c:dLbls>
        <c:gapWidth val="150"/>
        <c:axId val="48650112"/>
        <c:axId val="48672768"/>
      </c:barChart>
      <c:catAx>
        <c:axId val="48650112"/>
        <c:scaling>
          <c:orientation val="minMax"/>
        </c:scaling>
        <c:delete val="0"/>
        <c:axPos val="b"/>
        <c:majorGridlines>
          <c:spPr>
            <a:ln w="9525">
              <a:solidFill>
                <a:srgbClr val="CCCCCC"/>
              </a:solidFill>
              <a:prstDash val="dash"/>
            </a:ln>
          </c:spPr>
        </c:majorGridlines>
        <c:numFmt formatCode="General" sourceLinked="1"/>
        <c:majorTickMark val="none"/>
        <c:minorTickMark val="none"/>
        <c:tickLblPos val="nextTo"/>
        <c:crossAx val="48672768"/>
        <c:crosses val="autoZero"/>
        <c:auto val="1"/>
        <c:lblAlgn val="ctr"/>
        <c:lblOffset val="100"/>
        <c:noMultiLvlLbl val="0"/>
      </c:catAx>
      <c:valAx>
        <c:axId val="48672768"/>
        <c:scaling>
          <c:orientation val="minMax"/>
        </c:scaling>
        <c:delete val="0"/>
        <c:axPos val="l"/>
        <c:majorGridlines>
          <c:spPr>
            <a:ln w="9525">
              <a:solidFill>
                <a:srgbClr val="CCCCCC"/>
              </a:solidFill>
              <a:prstDash val="dash"/>
            </a:ln>
          </c:spPr>
        </c:majorGridlines>
        <c:numFmt formatCode="0.00" sourceLinked="1"/>
        <c:majorTickMark val="none"/>
        <c:minorTickMark val="none"/>
        <c:tickLblPos val="nextTo"/>
        <c:crossAx val="48650112"/>
        <c:crosses val="autoZero"/>
        <c:crossBetween val="between"/>
      </c:valAx>
    </c:plotArea>
    <c:legend>
      <c:legendPos val="b"/>
      <c:overlay val="0"/>
    </c:legend>
    <c:plotVisOnly val="1"/>
    <c:dispBlanksAs val="zero"/>
    <c:showDLblsOverMax val="1"/>
  </c:chart>
  <c:spPr>
    <a:ln w="9525">
      <a:solidFill>
        <a:srgbClr val="D9D9D9"/>
      </a:solidFill>
      <a:prstDash val="solid"/>
    </a:ln>
  </c:spPr>
  <c:txPr>
    <a:bodyPr/>
    <a:lstStyle/>
    <a:p>
      <a:pPr>
        <a:defRPr>
          <a:latin typeface="RB Office" panose="00000600000000000000" pitchFamily="2" charset="0"/>
          <a:ea typeface="RB Office" panose="00000600000000000000" pitchFamily="2" charset="0"/>
        </a:defRPr>
      </a:pPr>
      <a:endParaRPr lang="en-US"/>
    </a:p>
  </c:txPr>
  <c:printSettings>
    <c:headerFooter/>
    <c:pageMargins b="0.75" l="0.7" r="0.7" t="0.75" header="0.3" footer="0.3"/>
    <c:pageSetup/>
  </c:printSettings>
</c:chartSpace>
</file>

<file path=xl/drawings/_rels/drawing1.xml.rels><?xml version="1.0" encoding="UTF-8" standalone="yes"?>
<Relationships xmlns="http://schemas.openxmlformats.org/package/2006/relationships"><Relationship Id="rId2" Type="http://schemas.openxmlformats.org/officeDocument/2006/relationships/image" Target="../media/image2.png"/><Relationship Id="rId1" Type="http://schemas.openxmlformats.org/officeDocument/2006/relationships/image" Target="../media/image1.png"/></Relationships>
</file>

<file path=xl/drawings/_rels/drawing2.xml.rels><?xml version="1.0" encoding="UTF-8" standalone="yes"?>
<Relationships xmlns="http://schemas.openxmlformats.org/package/2006/relationships"><Relationship Id="rId1" Type="http://schemas.openxmlformats.org/officeDocument/2006/relationships/chart" Target="../charts/chart1.xml"/></Relationships>
</file>

<file path=xl/drawings/drawing1.xml><?xml version="1.0" encoding="utf-8"?>
<xdr:wsDr xmlns:xdr="http://schemas.openxmlformats.org/drawingml/2006/spreadsheetDrawing" xmlns:a="http://schemas.openxmlformats.org/drawingml/2006/main">
  <xdr:twoCellAnchor editAs="oneCell">
    <xdr:from>
      <xdr:col>3</xdr:col>
      <xdr:colOff>6458</xdr:colOff>
      <xdr:row>11</xdr:row>
      <xdr:rowOff>131</xdr:rowOff>
    </xdr:from>
    <xdr:to>
      <xdr:col>5</xdr:col>
      <xdr:colOff>192802</xdr:colOff>
      <xdr:row>14</xdr:row>
      <xdr:rowOff>55454</xdr:rowOff>
    </xdr:to>
    <xdr:pic>
      <xdr:nvPicPr>
        <xdr:cNvPr id="2" name="Picture 1">
          <a:extLst>
            <a:ext uri="{FF2B5EF4-FFF2-40B4-BE49-F238E27FC236}">
              <a16:creationId xmlns:a16="http://schemas.microsoft.com/office/drawing/2014/main" id="{3ECEF23E-2177-4320-8BE7-C297163C01B5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1">
          <a:extLst>
            <a:ext uri="{28A0092B-C50C-407E-A947-70E740481C1C}">
              <a14:useLocalDpi xmlns:a14="http://schemas.microsoft.com/office/drawing/2010/main" val="0"/>
            </a:ext>
          </a:extLst>
        </a:blip>
        <a:srcRect/>
        <a:stretch>
          <a:fillRect/>
        </a:stretch>
      </xdr:blipFill>
      <xdr:spPr bwMode="auto">
        <a:xfrm>
          <a:off x="623678" y="3208151"/>
          <a:ext cx="2880014" cy="630960"/>
        </a:xfrm>
        <a:prstGeom prst="rect">
          <a:avLst/>
        </a:prstGeom>
        <a:noFill/>
      </xdr:spPr>
    </xdr:pic>
    <xdr:clientData/>
  </xdr:twoCellAnchor>
  <xdr:twoCellAnchor editAs="oneCell">
    <xdr:from>
      <xdr:col>2</xdr:col>
      <xdr:colOff>44825</xdr:colOff>
      <xdr:row>13</xdr:row>
      <xdr:rowOff>173140</xdr:rowOff>
    </xdr:from>
    <xdr:to>
      <xdr:col>3</xdr:col>
      <xdr:colOff>993738</xdr:colOff>
      <xdr:row>21</xdr:row>
      <xdr:rowOff>78796</xdr:rowOff>
    </xdr:to>
    <xdr:pic>
      <xdr:nvPicPr>
        <xdr:cNvPr id="3" name="Picture 2" descr="Nos collaborateurs | Roland Berger">
          <a:extLst>
            <a:ext uri="{FF2B5EF4-FFF2-40B4-BE49-F238E27FC236}">
              <a16:creationId xmlns:a16="http://schemas.microsoft.com/office/drawing/2014/main" id="{EE64C21C-5663-4BC2-A89E-106D3355D235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2" cstate="print">
          <a:duotone>
            <a:prstClr val="black"/>
            <a:schemeClr val="accent4">
              <a:tint val="45000"/>
              <a:satMod val="400000"/>
            </a:schemeClr>
          </a:duotone>
          <a:extLst>
            <a:ext uri="{28A0092B-C50C-407E-A947-70E740481C1C}">
              <a14:useLocalDpi xmlns:a14="http://schemas.microsoft.com/office/drawing/2010/main" val="0"/>
            </a:ext>
          </a:extLst>
        </a:blip>
        <a:srcRect/>
        <a:stretch>
          <a:fillRect/>
        </a:stretch>
      </xdr:blipFill>
      <xdr:spPr bwMode="auto">
        <a:xfrm>
          <a:off x="410585" y="3762160"/>
          <a:ext cx="1194658" cy="1436696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pic>
    <xdr:clientData/>
  </xdr:twoCellAnchor>
</xdr:wsDr>
</file>

<file path=xl/drawings/drawing2.xml><?xml version="1.0" encoding="utf-8"?>
<xdr:wsDr xmlns:xdr="http://schemas.openxmlformats.org/drawingml/2006/spreadsheetDrawing" xmlns:a="http://schemas.openxmlformats.org/drawingml/2006/main">
  <xdr:twoCellAnchor>
    <xdr:from>
      <xdr:col>6</xdr:col>
      <xdr:colOff>125178</xdr:colOff>
      <xdr:row>6</xdr:row>
      <xdr:rowOff>15440</xdr:rowOff>
    </xdr:from>
    <xdr:to>
      <xdr:col>18</xdr:col>
      <xdr:colOff>190499</xdr:colOff>
      <xdr:row>25</xdr:row>
      <xdr:rowOff>15440</xdr:rowOff>
    </xdr:to>
    <xdr:graphicFrame macro="">
      <xdr:nvGraphicFramePr>
        <xdr:cNvPr id="2" name="Chart">
          <a:extLst>
            <a:ext uri="{FF2B5EF4-FFF2-40B4-BE49-F238E27FC236}">
              <a16:creationId xmlns:a16="http://schemas.microsoft.com/office/drawing/2014/main" id="{00000000-0008-0000-0300-000002000000}"/>
            </a:ext>
          </a:extLst>
        </xdr:cNvPr>
        <xdr:cNvGraphicFramePr/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1"/>
        </a:graphicData>
      </a:graphic>
    </xdr:graphicFrame>
    <xdr:clientData/>
  </xdr:twoCellAnchor>
</xdr:wsDr>
</file>

<file path=xl/theme/theme1.xml><?xml version="1.0" encoding="utf-8"?>
<a:theme xmlns:a="http://schemas.openxmlformats.org/drawingml/2006/main" name="ChatGPT">
  <a:themeElements>
    <a:clrScheme name="RB_Teal">
      <a:dk1>
        <a:srgbClr val="000000"/>
      </a:dk1>
      <a:lt1>
        <a:srgbClr val="FFFFFF"/>
      </a:lt1>
      <a:dk2>
        <a:srgbClr val="787878"/>
      </a:dk2>
      <a:lt2>
        <a:srgbClr val="C8C8C8"/>
      </a:lt2>
      <a:accent1>
        <a:srgbClr val="C8FFFA"/>
      </a:accent1>
      <a:accent2>
        <a:srgbClr val="81FFF4"/>
      </a:accent2>
      <a:accent3>
        <a:srgbClr val="00D4C4"/>
      </a:accent3>
      <a:accent4>
        <a:srgbClr val="008080"/>
      </a:accent4>
      <a:accent5>
        <a:srgbClr val="003B46"/>
      </a:accent5>
      <a:accent6>
        <a:srgbClr val="001E2F"/>
      </a:accent6>
      <a:hlink>
        <a:srgbClr val="787878"/>
      </a:hlink>
      <a:folHlink>
        <a:srgbClr val="787878"/>
      </a:folHlink>
    </a:clrScheme>
    <a:fontScheme name="Office">
      <a:majorFont>
        <a:latin typeface="Calibri Light"/>
        <a:ea typeface="Calibri Light"/>
        <a:cs typeface="Calibri Light"/>
      </a:majorFont>
      <a:minorFont>
        <a:latin typeface="Calibri"/>
        <a:ea typeface="Calibri"/>
        <a:cs typeface="Calibri"/>
      </a:minorFont>
    </a:fontScheme>
    <a:fmtScheme name="ChatGPT">
      <a:fillStyleLst>
        <a:solidFill>
          <a:schemeClr val="phClr"/>
        </a:solidFill>
        <a:gradFill>
          <a:gsLst>
            <a:gs pos="0">
              <a:schemeClr val="phClr">
                <a:tint val="67000"/>
                <a:lumMod val="110000"/>
                <a:satMod val="105000"/>
              </a:schemeClr>
            </a:gs>
            <a:gs pos="50000">
              <a:schemeClr val="phClr">
                <a:tint val="73000"/>
                <a:lumMod val="105000"/>
                <a:satMod val="103000"/>
              </a:schemeClr>
            </a:gs>
            <a:gs pos="100000">
              <a:schemeClr val="phClr">
                <a:tint val="81000"/>
                <a:lumMod val="105000"/>
                <a:satMod val="109000"/>
              </a:schemeClr>
            </a:gs>
          </a:gsLst>
          <a:lin ang="5400000" scaled="0"/>
        </a:gradFill>
        <a:gradFill>
          <a:gsLst>
            <a:gs pos="0">
              <a:schemeClr val="phClr">
                <a:tint val="94000"/>
                <a:lumMod val="102000"/>
                <a:satMod val="103000"/>
              </a:schemeClr>
            </a:gs>
            <a:gs pos="50000">
              <a:schemeClr val="phClr">
                <a:shade val="100000"/>
                <a:lumMod val="100000"/>
                <a:satMod val="110000"/>
              </a:schemeClr>
            </a:gs>
            <a:gs pos="100000">
              <a:schemeClr val="phClr">
                <a:shade val="78000"/>
                <a:lumMod val="99000"/>
                <a:satMod val="120000"/>
              </a:schemeClr>
            </a:gs>
          </a:gsLst>
          <a:lin ang="5400000" scaled="0"/>
        </a:gradFill>
      </a:fillStyleLst>
      <a:lnStyleLst>
        <a:ln w="12700">
          <a:solidFill>
            <a:schemeClr val="phClr"/>
          </a:solidFill>
          <a:prstDash val="solid"/>
        </a:ln>
        <a:ln w="19050">
          <a:solidFill>
            <a:schemeClr val="phClr"/>
          </a:solidFill>
          <a:prstDash val="solid"/>
        </a:ln>
        <a:ln w="25400">
          <a:solidFill>
            <a:schemeClr val="phClr"/>
          </a:solidFill>
          <a:prstDash val="solid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>
          <a:gsLst>
            <a:gs pos="0">
              <a:schemeClr val="phClr">
                <a:tint val="93000"/>
                <a:shade val="98000"/>
                <a:lumMod val="102000"/>
                <a:satMod val="150000"/>
              </a:schemeClr>
            </a:gs>
            <a:gs pos="50000">
              <a:schemeClr val="phClr">
                <a:tint val="98000"/>
                <a:shade val="90000"/>
                <a:lumMod val="103000"/>
                <a:satMod val="130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  <a:extraClrSchemeLst/>
</a:theme>
</file>

<file path=xl/worksheets/_rels/sheet1.xml.rels><?xml version="1.0" encoding="UTF-8" standalone="yes"?>
<Relationships xmlns="http://schemas.openxmlformats.org/package/2006/relationships"><Relationship Id="rId2" Type="http://schemas.openxmlformats.org/officeDocument/2006/relationships/drawing" Target="../drawings/drawing1.xml"/><Relationship Id="rId1" Type="http://schemas.openxmlformats.org/officeDocument/2006/relationships/printerSettings" Target="../printerSettings/printerSettings1.bin"/></Relationships>
</file>

<file path=xl/worksheets/_rels/sheet2.xml.rels><?xml version="1.0" encoding="UTF-8" standalone="yes"?>
<Relationships xmlns="http://schemas.openxmlformats.org/package/2006/relationships"><Relationship Id="rId1" Type="http://schemas.openxmlformats.org/officeDocument/2006/relationships/hyperlink" Target="https://www.axis.com/en-be/products/axis-surveillance-card-256-gb" TargetMode="External"/></Relationships>
</file>

<file path=xl/worksheets/_rels/sheet4.xml.rels><?xml version="1.0" encoding="UTF-8" standalone="yes"?>
<Relationships xmlns="http://schemas.openxmlformats.org/package/2006/relationships"><Relationship Id="rId1" Type="http://schemas.openxmlformats.org/officeDocument/2006/relationships/drawing" Target="../drawings/drawing2.xml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42C9CD5E-37BF-4ADD-8523-5C77AAB7AF39}">
  <sheetPr>
    <tabColor theme="9"/>
  </sheetPr>
  <dimension ref="A1:AR9"/>
  <sheetViews>
    <sheetView showGridLines="0" zoomScale="85" zoomScaleNormal="85" workbookViewId="0">
      <selection activeCell="F20" sqref="F20"/>
    </sheetView>
  </sheetViews>
  <sheetFormatPr defaultColWidth="8" defaultRowHeight="15"/>
  <cols>
    <col min="1" max="1" width="1.5" style="52" customWidth="1"/>
    <col min="2" max="3" width="3.19921875" style="52" customWidth="1"/>
    <col min="4" max="4" width="27.3984375" style="52" customWidth="1"/>
    <col min="5" max="5" width="8" style="52"/>
    <col min="6" max="6" width="46.69921875" style="52" bestFit="1" customWidth="1"/>
    <col min="7" max="16384" width="8" style="52"/>
  </cols>
  <sheetData>
    <row r="1" spans="1:44" s="42" customFormat="1" ht="13.95" customHeight="1">
      <c r="A1" s="40"/>
      <c r="B1" s="40"/>
      <c r="C1" s="40"/>
      <c r="D1" s="41"/>
      <c r="E1" s="41"/>
      <c r="F1" s="41"/>
      <c r="G1" s="41"/>
      <c r="H1" s="41"/>
      <c r="I1" s="41"/>
      <c r="J1" s="41"/>
      <c r="K1" s="41"/>
      <c r="L1" s="41"/>
      <c r="M1" s="41"/>
      <c r="N1" s="41"/>
      <c r="O1" s="41"/>
      <c r="P1" s="41"/>
      <c r="Q1" s="41"/>
      <c r="R1" s="41"/>
      <c r="S1" s="41"/>
      <c r="T1" s="41"/>
      <c r="U1" s="41"/>
      <c r="V1" s="41"/>
      <c r="W1" s="41"/>
      <c r="X1" s="41"/>
      <c r="Y1" s="41"/>
      <c r="Z1" s="41"/>
      <c r="AA1" s="41"/>
      <c r="AB1" s="41"/>
      <c r="AC1" s="41"/>
      <c r="AD1" s="41"/>
      <c r="AE1" s="41"/>
      <c r="AF1" s="41"/>
      <c r="AG1" s="41"/>
    </row>
    <row r="2" spans="1:44" s="42" customFormat="1" ht="13.95" customHeight="1">
      <c r="A2" s="40"/>
      <c r="B2" s="40"/>
      <c r="C2" s="40"/>
      <c r="D2" s="41"/>
      <c r="E2" s="41"/>
      <c r="F2" s="41"/>
      <c r="G2" s="41"/>
      <c r="H2" s="41"/>
      <c r="I2" s="41"/>
      <c r="J2" s="41"/>
      <c r="K2" s="41"/>
      <c r="L2" s="41"/>
      <c r="M2" s="41"/>
      <c r="N2" s="41"/>
      <c r="O2" s="41"/>
      <c r="P2" s="41"/>
      <c r="Q2" s="41"/>
      <c r="R2" s="41"/>
      <c r="S2" s="41"/>
      <c r="T2" s="41"/>
      <c r="U2" s="41"/>
      <c r="V2" s="41"/>
      <c r="W2" s="41"/>
      <c r="X2" s="41"/>
      <c r="Y2" s="41"/>
      <c r="Z2" s="41"/>
      <c r="AA2" s="41"/>
      <c r="AB2" s="41"/>
      <c r="AC2" s="41"/>
      <c r="AD2" s="41"/>
      <c r="AE2" s="41"/>
      <c r="AF2" s="41"/>
      <c r="AG2" s="41"/>
    </row>
    <row r="3" spans="1:44" s="42" customFormat="1" ht="13.95" customHeight="1">
      <c r="A3" s="40"/>
      <c r="B3" s="40"/>
      <c r="C3" s="40"/>
      <c r="D3" s="41"/>
      <c r="E3" s="41"/>
      <c r="F3" s="41"/>
      <c r="G3" s="41"/>
      <c r="H3" s="41"/>
      <c r="I3" s="41"/>
      <c r="J3" s="41"/>
      <c r="K3" s="41"/>
      <c r="L3" s="41"/>
      <c r="M3" s="41"/>
      <c r="N3" s="41"/>
      <c r="O3" s="41"/>
      <c r="P3" s="41"/>
      <c r="Q3" s="41"/>
      <c r="R3" s="41"/>
      <c r="S3" s="41"/>
      <c r="T3" s="41"/>
      <c r="U3" s="41"/>
      <c r="V3" s="41"/>
      <c r="W3" s="41"/>
      <c r="X3" s="41"/>
      <c r="Y3" s="41"/>
      <c r="Z3" s="41"/>
      <c r="AA3" s="41"/>
      <c r="AB3" s="41"/>
      <c r="AC3" s="41"/>
      <c r="AD3" s="41"/>
      <c r="AE3" s="41"/>
      <c r="AF3" s="41"/>
      <c r="AG3" s="41"/>
    </row>
    <row r="4" spans="1:44" s="42" customFormat="1" ht="48.6">
      <c r="A4" s="40"/>
      <c r="B4" s="43"/>
      <c r="C4" s="43"/>
      <c r="D4" s="44" t="s">
        <v>0</v>
      </c>
      <c r="E4" s="41"/>
      <c r="F4" s="41"/>
      <c r="G4" s="41"/>
      <c r="H4" s="41"/>
      <c r="I4" s="41"/>
      <c r="J4" s="41"/>
      <c r="K4" s="41"/>
      <c r="L4" s="41"/>
      <c r="M4" s="41"/>
      <c r="N4" s="41"/>
      <c r="O4" s="41"/>
      <c r="P4" s="41"/>
      <c r="Q4" s="41"/>
      <c r="R4" s="41"/>
      <c r="S4" s="41"/>
      <c r="T4" s="41"/>
      <c r="U4" s="41"/>
      <c r="V4" s="41"/>
      <c r="W4" s="41"/>
      <c r="X4" s="41"/>
      <c r="Y4" s="41"/>
      <c r="Z4" s="41"/>
      <c r="AA4" s="41"/>
      <c r="AB4" s="41"/>
      <c r="AC4" s="41"/>
      <c r="AD4" s="41"/>
      <c r="AE4" s="41"/>
      <c r="AF4" s="41"/>
      <c r="AG4" s="41"/>
    </row>
    <row r="5" spans="1:44" s="42" customFormat="1" ht="45.6" customHeight="1">
      <c r="A5" s="40"/>
      <c r="B5" s="40"/>
      <c r="C5" s="40"/>
      <c r="D5" s="45" t="s">
        <v>1</v>
      </c>
      <c r="E5" s="41"/>
      <c r="F5" s="41"/>
      <c r="G5" s="41"/>
      <c r="H5" s="41"/>
      <c r="I5" s="41"/>
      <c r="J5" s="41"/>
      <c r="K5" s="41"/>
      <c r="L5" s="41"/>
      <c r="M5" s="41"/>
      <c r="N5" s="41"/>
      <c r="O5" s="41"/>
      <c r="P5" s="41"/>
      <c r="Q5" s="41"/>
      <c r="R5" s="41"/>
      <c r="S5" s="41"/>
      <c r="T5" s="41"/>
      <c r="U5" s="41"/>
      <c r="V5" s="41"/>
      <c r="W5" s="41"/>
      <c r="X5" s="41"/>
      <c r="Y5" s="41"/>
      <c r="Z5" s="41"/>
      <c r="AA5" s="41"/>
      <c r="AB5" s="41"/>
      <c r="AC5" s="41"/>
      <c r="AD5" s="41"/>
      <c r="AE5" s="41"/>
      <c r="AF5" s="41"/>
      <c r="AG5" s="41"/>
    </row>
    <row r="6" spans="1:44" s="42" customFormat="1" ht="31.35" customHeight="1">
      <c r="A6" s="40"/>
      <c r="B6" s="40"/>
      <c r="C6" s="40"/>
      <c r="D6" s="46"/>
      <c r="E6" s="41"/>
      <c r="F6" s="41"/>
      <c r="G6" s="41"/>
      <c r="H6" s="41"/>
      <c r="I6" s="41"/>
      <c r="J6" s="41"/>
      <c r="K6" s="41"/>
      <c r="L6" s="41"/>
      <c r="M6" s="41"/>
      <c r="N6" s="41"/>
      <c r="O6" s="41"/>
      <c r="P6" s="41"/>
      <c r="Q6" s="41"/>
      <c r="R6" s="41"/>
      <c r="S6" s="41"/>
      <c r="T6" s="41"/>
      <c r="U6" s="41"/>
      <c r="V6" s="41"/>
      <c r="W6" s="41"/>
      <c r="X6" s="41"/>
      <c r="Y6" s="41"/>
      <c r="Z6" s="41"/>
      <c r="AA6" s="41"/>
      <c r="AB6" s="41"/>
      <c r="AC6" s="41"/>
      <c r="AD6" s="41"/>
      <c r="AE6" s="41"/>
      <c r="AF6" s="41"/>
      <c r="AG6" s="41"/>
    </row>
    <row r="7" spans="1:44" s="42" customFormat="1" ht="28.2">
      <c r="A7" s="40"/>
      <c r="B7" s="40"/>
      <c r="C7" s="40"/>
      <c r="D7" s="47"/>
      <c r="E7" s="41"/>
      <c r="F7" s="41"/>
      <c r="G7" s="41"/>
      <c r="H7" s="41"/>
      <c r="I7" s="41"/>
      <c r="J7" s="41"/>
      <c r="K7" s="41"/>
      <c r="L7" s="41"/>
      <c r="M7" s="41"/>
      <c r="N7" s="41"/>
      <c r="O7" s="41"/>
      <c r="P7" s="41"/>
      <c r="Q7" s="41"/>
      <c r="R7" s="41"/>
      <c r="S7" s="41"/>
      <c r="T7" s="41"/>
      <c r="U7" s="41"/>
      <c r="V7" s="41"/>
      <c r="W7" s="41"/>
      <c r="X7" s="41"/>
      <c r="Y7" s="41"/>
      <c r="Z7" s="41"/>
      <c r="AA7" s="41"/>
      <c r="AB7" s="41"/>
      <c r="AC7" s="41"/>
      <c r="AD7" s="41"/>
      <c r="AE7" s="41"/>
      <c r="AF7" s="41"/>
      <c r="AG7" s="41"/>
    </row>
    <row r="8" spans="1:44" s="42" customFormat="1" ht="13.95" customHeight="1">
      <c r="A8" s="48"/>
      <c r="B8" s="48"/>
      <c r="C8" s="48"/>
      <c r="D8" s="49"/>
      <c r="E8" s="49"/>
      <c r="F8" s="49"/>
      <c r="G8" s="49"/>
      <c r="H8" s="49"/>
      <c r="I8" s="49"/>
      <c r="J8" s="49"/>
      <c r="K8" s="49"/>
      <c r="L8" s="49"/>
      <c r="M8" s="49"/>
      <c r="N8" s="49"/>
      <c r="O8" s="49"/>
      <c r="P8" s="49"/>
      <c r="Q8" s="49"/>
      <c r="R8" s="49"/>
      <c r="S8" s="49"/>
      <c r="T8" s="49"/>
      <c r="U8" s="49"/>
      <c r="V8" s="49"/>
      <c r="W8" s="49"/>
      <c r="X8" s="49"/>
      <c r="Y8" s="49"/>
      <c r="Z8" s="49"/>
      <c r="AA8" s="49"/>
      <c r="AB8" s="49"/>
      <c r="AC8" s="49"/>
      <c r="AD8" s="49"/>
      <c r="AE8" s="49"/>
      <c r="AF8" s="49"/>
      <c r="AG8" s="49"/>
      <c r="AH8" s="49"/>
      <c r="AI8" s="49"/>
      <c r="AJ8" s="49"/>
      <c r="AK8" s="49"/>
      <c r="AL8" s="49"/>
      <c r="AM8" s="49"/>
      <c r="AN8" s="41"/>
      <c r="AO8" s="41"/>
      <c r="AP8" s="41"/>
      <c r="AQ8" s="41"/>
      <c r="AR8" s="41"/>
    </row>
    <row r="9" spans="1:44" s="51" customFormat="1" ht="13.95" customHeight="1">
      <c r="A9" s="50"/>
      <c r="B9" s="50"/>
      <c r="C9" s="50"/>
      <c r="D9" s="50"/>
      <c r="E9" s="50"/>
      <c r="F9" s="50"/>
      <c r="G9" s="50"/>
      <c r="H9" s="50"/>
      <c r="I9" s="50"/>
      <c r="J9" s="50"/>
      <c r="K9" s="50"/>
      <c r="L9" s="50"/>
      <c r="M9" s="50"/>
      <c r="N9" s="50"/>
      <c r="O9" s="50"/>
      <c r="P9" s="50"/>
      <c r="Q9" s="50"/>
      <c r="R9" s="50"/>
      <c r="S9" s="50"/>
      <c r="T9" s="50"/>
      <c r="U9" s="50"/>
      <c r="V9" s="50"/>
      <c r="W9" s="50"/>
      <c r="X9" s="50"/>
      <c r="Y9" s="50"/>
      <c r="Z9" s="50"/>
      <c r="AA9" s="50"/>
      <c r="AB9" s="50"/>
      <c r="AC9" s="50"/>
      <c r="AD9" s="50"/>
      <c r="AE9" s="50"/>
      <c r="AF9" s="50"/>
      <c r="AG9" s="50"/>
      <c r="AH9" s="50"/>
      <c r="AI9" s="50"/>
      <c r="AJ9" s="50"/>
      <c r="AK9" s="50"/>
      <c r="AL9" s="50"/>
      <c r="AM9" s="50"/>
    </row>
  </sheetData>
  <pageMargins left="0.7" right="0.7" top="0.75" bottom="0.75" header="0.3" footer="0.3"/>
  <pageSetup paperSize="9" orientation="portrait" r:id="rId1"/>
  <headerFooter>
    <oddHeader>&amp;L&amp;"Aptos"&amp;10&amp;K000000 INTERNAL&amp;1#_x000D_</oddHeader>
  </headerFooter>
  <drawing r:id="rId2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100-000000000000}">
  <dimension ref="B1:P114"/>
  <sheetViews>
    <sheetView zoomScale="85" zoomScaleNormal="85" workbookViewId="0">
      <selection activeCell="F10" sqref="F10"/>
    </sheetView>
  </sheetViews>
  <sheetFormatPr defaultColWidth="8.69921875" defaultRowHeight="15"/>
  <cols>
    <col min="1" max="2" width="3.8984375" style="1" customWidth="1"/>
    <col min="3" max="3" width="3.19921875" style="1" customWidth="1"/>
    <col min="4" max="4" width="56.8984375" style="1" bestFit="1" customWidth="1"/>
    <col min="5" max="5" width="26.8984375" style="1" customWidth="1"/>
    <col min="6" max="6" width="20.19921875" style="1" customWidth="1"/>
    <col min="7" max="7" width="25.59765625" style="1" customWidth="1"/>
    <col min="8" max="8" width="18" style="1" customWidth="1"/>
    <col min="9" max="9" width="28" style="1" customWidth="1"/>
    <col min="10" max="13" width="16" style="1" customWidth="1"/>
    <col min="14" max="16384" width="8.69921875" style="1"/>
  </cols>
  <sheetData>
    <row r="1" spans="2:16" s="57" customFormat="1" ht="10.199999999999999" customHeight="1">
      <c r="D1" s="58"/>
      <c r="E1" s="58"/>
      <c r="F1" s="58"/>
      <c r="G1" s="58"/>
      <c r="H1" s="58"/>
      <c r="J1" s="58"/>
      <c r="K1" s="58"/>
      <c r="L1" s="58"/>
      <c r="M1" s="58"/>
      <c r="N1" s="58"/>
      <c r="O1" s="58"/>
    </row>
    <row r="2" spans="2:16" s="57" customFormat="1" ht="34.200000000000003" customHeight="1">
      <c r="B2" s="60" t="s">
        <v>2</v>
      </c>
      <c r="C2" s="59"/>
      <c r="E2" s="60"/>
      <c r="F2" s="61"/>
      <c r="G2" s="61"/>
      <c r="H2" s="61"/>
      <c r="I2" s="62"/>
      <c r="J2" s="61"/>
      <c r="K2" s="61"/>
      <c r="L2" s="61"/>
      <c r="M2" s="61"/>
      <c r="N2" s="61"/>
      <c r="O2" s="61"/>
    </row>
    <row r="3" spans="2:16" s="57" customFormat="1" ht="15.6" customHeight="1">
      <c r="C3" s="59"/>
      <c r="D3" s="60"/>
      <c r="E3" s="60"/>
      <c r="F3" s="61"/>
      <c r="G3" s="61"/>
      <c r="H3" s="61"/>
      <c r="I3" s="62"/>
      <c r="J3" s="61"/>
      <c r="K3" s="61"/>
      <c r="L3" s="61"/>
      <c r="M3" s="61"/>
      <c r="N3" s="61"/>
      <c r="O3" s="61"/>
    </row>
    <row r="4" spans="2:16" s="66" customFormat="1" ht="15" customHeight="1">
      <c r="C4" s="63"/>
      <c r="D4" s="64"/>
      <c r="E4" s="64"/>
      <c r="F4" s="64"/>
      <c r="G4" s="64"/>
      <c r="H4" s="64"/>
      <c r="I4" s="65"/>
      <c r="J4" s="64"/>
      <c r="K4" s="64"/>
      <c r="L4" s="64"/>
      <c r="M4" s="64"/>
      <c r="N4" s="64"/>
      <c r="O4" s="64"/>
    </row>
    <row r="5" spans="2:16">
      <c r="D5" s="2"/>
      <c r="E5" s="2"/>
      <c r="F5" s="2"/>
      <c r="G5" s="2"/>
      <c r="H5" s="2"/>
      <c r="I5" s="2"/>
      <c r="J5" s="2"/>
      <c r="K5" s="2"/>
      <c r="L5" s="2"/>
      <c r="M5" s="2"/>
      <c r="N5" s="2"/>
      <c r="O5" s="2"/>
      <c r="P5" s="2"/>
    </row>
    <row r="6" spans="2:16" ht="16.2" customHeight="1">
      <c r="B6" s="3" t="s">
        <v>3</v>
      </c>
      <c r="D6" s="3" t="s">
        <v>4</v>
      </c>
      <c r="E6" s="3"/>
      <c r="F6" s="3"/>
      <c r="G6" s="3"/>
      <c r="H6" s="3"/>
      <c r="I6" s="3"/>
      <c r="J6" s="3"/>
      <c r="K6" s="3"/>
      <c r="L6" s="3"/>
      <c r="M6" s="3"/>
      <c r="N6" s="2"/>
      <c r="O6" s="2"/>
      <c r="P6" s="2"/>
    </row>
    <row r="7" spans="2:16" ht="16.2" customHeight="1">
      <c r="D7" s="19"/>
      <c r="E7" s="19"/>
      <c r="F7" s="19"/>
      <c r="G7" s="19"/>
      <c r="H7" s="19"/>
      <c r="I7" s="19"/>
      <c r="J7" s="19"/>
      <c r="K7" s="19"/>
      <c r="L7" s="19"/>
      <c r="M7" s="19"/>
      <c r="N7" s="2"/>
      <c r="O7" s="2"/>
      <c r="P7" s="2"/>
    </row>
    <row r="8" spans="2:16" ht="15.6" thickBot="1">
      <c r="D8" s="22" t="s">
        <v>5</v>
      </c>
      <c r="E8" s="22" t="s">
        <v>6</v>
      </c>
      <c r="F8" s="22" t="s">
        <v>7</v>
      </c>
      <c r="G8" s="22" t="s">
        <v>8</v>
      </c>
      <c r="I8" s="2"/>
      <c r="J8" s="2"/>
      <c r="K8" s="2"/>
      <c r="L8" s="2"/>
      <c r="M8" s="2"/>
      <c r="N8" s="2"/>
      <c r="O8" s="2"/>
      <c r="P8" s="2"/>
    </row>
    <row r="9" spans="2:16">
      <c r="D9" s="2" t="s">
        <v>9</v>
      </c>
      <c r="E9" s="1" t="s">
        <v>10</v>
      </c>
      <c r="F9" s="9">
        <v>800</v>
      </c>
      <c r="G9" s="2" t="s">
        <v>11</v>
      </c>
      <c r="I9" s="2"/>
      <c r="J9" s="2"/>
      <c r="K9" s="2"/>
      <c r="L9" s="2"/>
      <c r="M9" s="2"/>
      <c r="N9" s="2"/>
      <c r="O9" s="2"/>
      <c r="P9" s="2"/>
    </row>
    <row r="10" spans="2:16">
      <c r="D10" s="2" t="s">
        <v>12</v>
      </c>
      <c r="E10" s="1" t="s">
        <v>10</v>
      </c>
      <c r="F10" s="9">
        <v>10</v>
      </c>
      <c r="G10" s="2" t="s">
        <v>11</v>
      </c>
      <c r="I10" s="2"/>
      <c r="J10" s="2"/>
      <c r="K10" s="2"/>
      <c r="L10" s="2"/>
      <c r="M10" s="2"/>
      <c r="N10" s="2"/>
      <c r="O10" s="2"/>
      <c r="P10" s="2"/>
    </row>
    <row r="11" spans="2:16">
      <c r="D11" s="2" t="s">
        <v>13</v>
      </c>
      <c r="E11" s="1" t="s">
        <v>10</v>
      </c>
      <c r="F11" s="9">
        <v>10</v>
      </c>
      <c r="G11" s="2" t="s">
        <v>11</v>
      </c>
      <c r="I11" s="2"/>
      <c r="J11" s="2"/>
      <c r="K11" s="2"/>
      <c r="L11" s="2"/>
      <c r="M11" s="2"/>
      <c r="N11" s="2"/>
      <c r="O11" s="2"/>
      <c r="P11" s="2"/>
    </row>
    <row r="12" spans="2:16">
      <c r="D12" s="2" t="s">
        <v>14</v>
      </c>
      <c r="E12" s="1" t="s">
        <v>10</v>
      </c>
      <c r="F12" s="9">
        <v>80</v>
      </c>
      <c r="G12" s="2" t="s">
        <v>11</v>
      </c>
      <c r="I12" s="2"/>
      <c r="J12" s="2"/>
      <c r="K12" s="2"/>
      <c r="L12" s="2"/>
      <c r="M12" s="2"/>
      <c r="N12" s="2"/>
      <c r="O12" s="2"/>
      <c r="P12" s="2"/>
    </row>
    <row r="13" spans="2:16">
      <c r="D13" s="2" t="s">
        <v>15</v>
      </c>
      <c r="E13" s="1" t="s">
        <v>10</v>
      </c>
      <c r="F13" s="9">
        <v>80</v>
      </c>
      <c r="G13" s="2" t="s">
        <v>11</v>
      </c>
      <c r="I13" s="2"/>
      <c r="J13" s="2"/>
      <c r="K13" s="2"/>
      <c r="L13" s="2"/>
      <c r="M13" s="2"/>
      <c r="N13" s="2"/>
      <c r="O13" s="2"/>
      <c r="P13" s="2"/>
    </row>
    <row r="14" spans="2:16">
      <c r="D14" s="2" t="s">
        <v>16</v>
      </c>
      <c r="E14" s="1" t="s">
        <v>10</v>
      </c>
      <c r="F14" s="9">
        <f>F25*10%</f>
        <v>260</v>
      </c>
      <c r="G14" s="2" t="s">
        <v>11</v>
      </c>
      <c r="I14" s="2"/>
      <c r="J14" s="2"/>
      <c r="K14" s="2"/>
      <c r="L14" s="2"/>
      <c r="M14" s="2"/>
      <c r="N14" s="2"/>
      <c r="O14" s="2"/>
      <c r="P14" s="2"/>
    </row>
    <row r="15" spans="2:16">
      <c r="D15" s="2" t="s">
        <v>17</v>
      </c>
      <c r="E15" s="1" t="s">
        <v>10</v>
      </c>
      <c r="F15" s="9" t="s">
        <v>18</v>
      </c>
      <c r="G15" s="2" t="s">
        <v>19</v>
      </c>
      <c r="I15" s="2"/>
      <c r="J15" s="2"/>
      <c r="K15" s="2"/>
      <c r="L15" s="2"/>
      <c r="M15" s="2"/>
      <c r="N15" s="2"/>
      <c r="O15" s="2"/>
      <c r="P15" s="2"/>
    </row>
    <row r="16" spans="2:16" ht="15.6" thickBot="1">
      <c r="D16" s="24" t="s">
        <v>20</v>
      </c>
      <c r="E16" s="20" t="s">
        <v>10</v>
      </c>
      <c r="F16" s="25" t="s">
        <v>18</v>
      </c>
      <c r="G16" s="24" t="s">
        <v>19</v>
      </c>
      <c r="I16" s="2"/>
      <c r="J16" s="2"/>
      <c r="K16" s="2"/>
      <c r="L16" s="2"/>
      <c r="M16" s="2"/>
      <c r="N16" s="2"/>
      <c r="O16" s="2"/>
      <c r="P16" s="2"/>
    </row>
    <row r="17" spans="2:16" ht="15.6" thickTop="1">
      <c r="D17" s="2"/>
      <c r="E17" s="14"/>
      <c r="F17" s="2"/>
      <c r="G17" s="2"/>
      <c r="H17" s="2"/>
      <c r="I17" s="2"/>
      <c r="J17" s="2"/>
      <c r="K17" s="2"/>
      <c r="L17" s="2"/>
      <c r="M17" s="2"/>
      <c r="N17" s="2"/>
      <c r="O17" s="2"/>
      <c r="P17" s="2"/>
    </row>
    <row r="18" spans="2:16">
      <c r="D18" s="2"/>
      <c r="E18" s="2"/>
      <c r="F18" s="2"/>
      <c r="G18" s="2"/>
      <c r="H18" s="2"/>
      <c r="I18" s="2"/>
      <c r="J18" s="2"/>
      <c r="K18" s="2"/>
      <c r="L18" s="2"/>
      <c r="M18" s="2"/>
      <c r="N18" s="2"/>
      <c r="O18" s="2"/>
      <c r="P18" s="2"/>
    </row>
    <row r="19" spans="2:16" ht="15.6" thickBot="1">
      <c r="D19" s="22" t="s">
        <v>5</v>
      </c>
      <c r="E19" s="22" t="s">
        <v>6</v>
      </c>
      <c r="F19" s="22" t="s">
        <v>21</v>
      </c>
      <c r="G19" s="22" t="s">
        <v>8</v>
      </c>
      <c r="I19" s="2"/>
      <c r="J19" s="2"/>
      <c r="K19" s="2"/>
      <c r="L19" s="2"/>
      <c r="M19" s="2"/>
      <c r="N19" s="2"/>
      <c r="O19" s="2"/>
      <c r="P19" s="2"/>
    </row>
    <row r="20" spans="2:16">
      <c r="D20" s="2" t="s">
        <v>9</v>
      </c>
      <c r="E20" s="2" t="s">
        <v>22</v>
      </c>
      <c r="F20" s="10">
        <v>628</v>
      </c>
      <c r="G20" s="2" t="s">
        <v>11</v>
      </c>
      <c r="I20" s="2"/>
      <c r="J20" s="2"/>
      <c r="K20" s="2"/>
      <c r="L20" s="2"/>
      <c r="M20" s="2"/>
      <c r="N20" s="2"/>
      <c r="O20" s="2"/>
      <c r="P20" s="2"/>
    </row>
    <row r="21" spans="2:16">
      <c r="D21" s="2" t="s">
        <v>12</v>
      </c>
      <c r="E21" s="1" t="s">
        <v>10</v>
      </c>
      <c r="F21" s="10"/>
      <c r="G21" s="2" t="s">
        <v>11</v>
      </c>
      <c r="I21" s="2"/>
      <c r="J21" s="2"/>
      <c r="K21" s="2"/>
      <c r="L21" s="2"/>
      <c r="M21" s="2"/>
      <c r="N21" s="2"/>
      <c r="O21" s="2"/>
      <c r="P21" s="2"/>
    </row>
    <row r="22" spans="2:16">
      <c r="D22" s="2" t="s">
        <v>13</v>
      </c>
      <c r="E22" s="1" t="s">
        <v>10</v>
      </c>
      <c r="F22" s="10"/>
      <c r="G22" s="2" t="s">
        <v>11</v>
      </c>
      <c r="I22" s="2"/>
      <c r="J22" s="2"/>
      <c r="K22" s="2"/>
      <c r="L22" s="2"/>
      <c r="M22" s="2"/>
      <c r="N22" s="2"/>
      <c r="O22" s="2"/>
      <c r="P22" s="2"/>
    </row>
    <row r="23" spans="2:16">
      <c r="D23" s="2" t="s">
        <v>14</v>
      </c>
      <c r="E23" s="1" t="s">
        <v>10</v>
      </c>
      <c r="F23" s="10"/>
      <c r="G23" s="2" t="s">
        <v>11</v>
      </c>
      <c r="I23" s="2"/>
      <c r="J23" s="2"/>
      <c r="K23" s="2"/>
      <c r="L23" s="2"/>
      <c r="M23" s="2"/>
      <c r="N23" s="2"/>
      <c r="O23" s="2"/>
      <c r="P23" s="2"/>
    </row>
    <row r="24" spans="2:16">
      <c r="D24" s="2" t="s">
        <v>15</v>
      </c>
      <c r="E24" s="1" t="s">
        <v>10</v>
      </c>
      <c r="F24" s="10"/>
      <c r="G24" s="2" t="s">
        <v>11</v>
      </c>
      <c r="I24" s="2"/>
      <c r="J24" s="2"/>
      <c r="K24" s="2"/>
      <c r="L24" s="2"/>
      <c r="M24" s="2"/>
      <c r="N24" s="2"/>
      <c r="O24" s="2"/>
      <c r="P24" s="2"/>
    </row>
    <row r="25" spans="2:16">
      <c r="D25" s="2" t="s">
        <v>16</v>
      </c>
      <c r="E25" s="2" t="s">
        <v>23</v>
      </c>
      <c r="F25" s="10">
        <v>2600</v>
      </c>
      <c r="G25" s="2" t="s">
        <v>24</v>
      </c>
      <c r="I25" s="2"/>
      <c r="J25" s="2"/>
      <c r="K25" s="2"/>
      <c r="L25" s="2"/>
      <c r="M25" s="2"/>
      <c r="N25" s="2"/>
      <c r="O25" s="2"/>
      <c r="P25" s="2"/>
    </row>
    <row r="26" spans="2:16">
      <c r="D26" s="2" t="s">
        <v>17</v>
      </c>
      <c r="E26" s="2" t="s">
        <v>25</v>
      </c>
      <c r="F26" s="10">
        <v>7534</v>
      </c>
      <c r="G26" s="2" t="s">
        <v>26</v>
      </c>
      <c r="I26" s="2"/>
      <c r="J26" s="2"/>
      <c r="K26" s="2"/>
      <c r="L26" s="2"/>
      <c r="M26" s="2"/>
      <c r="N26" s="2"/>
      <c r="O26" s="2"/>
      <c r="P26" s="2"/>
    </row>
    <row r="27" spans="2:16" ht="15.6" thickBot="1">
      <c r="D27" s="24" t="s">
        <v>20</v>
      </c>
      <c r="E27" s="24" t="s">
        <v>25</v>
      </c>
      <c r="F27" s="26">
        <v>55920</v>
      </c>
      <c r="G27" s="24" t="s">
        <v>26</v>
      </c>
      <c r="I27" s="2"/>
      <c r="J27" s="2"/>
      <c r="K27" s="2"/>
      <c r="L27" s="2"/>
      <c r="M27" s="2"/>
      <c r="N27" s="2"/>
      <c r="O27" s="2"/>
      <c r="P27" s="2"/>
    </row>
    <row r="28" spans="2:16" ht="15.6" thickTop="1">
      <c r="D28" s="2"/>
      <c r="E28" s="2"/>
      <c r="F28" s="2"/>
      <c r="G28" s="2"/>
      <c r="H28" s="2"/>
      <c r="I28" s="2"/>
      <c r="J28" s="2"/>
      <c r="K28" s="2"/>
      <c r="L28" s="2"/>
      <c r="M28" s="2"/>
      <c r="N28" s="2"/>
      <c r="O28" s="2"/>
      <c r="P28" s="2"/>
    </row>
    <row r="29" spans="2:16">
      <c r="D29" s="2"/>
      <c r="E29" s="2"/>
      <c r="F29" s="2"/>
      <c r="G29" s="2"/>
      <c r="H29" s="2"/>
      <c r="I29" s="2"/>
      <c r="J29" s="2"/>
      <c r="K29" s="2"/>
      <c r="L29" s="2"/>
      <c r="M29" s="2"/>
      <c r="N29" s="2"/>
      <c r="O29" s="2"/>
      <c r="P29" s="2"/>
    </row>
    <row r="30" spans="2:16">
      <c r="D30" s="2"/>
      <c r="E30" s="2"/>
      <c r="F30" s="2"/>
      <c r="G30" s="2"/>
      <c r="H30" s="2"/>
      <c r="I30" s="2"/>
      <c r="J30" s="2"/>
      <c r="K30" s="2"/>
      <c r="L30" s="2"/>
      <c r="M30" s="2"/>
      <c r="N30" s="2"/>
      <c r="O30" s="2"/>
      <c r="P30" s="2"/>
    </row>
    <row r="31" spans="2:16" ht="16.2" customHeight="1">
      <c r="B31" s="3" t="s">
        <v>27</v>
      </c>
      <c r="D31" s="3" t="s">
        <v>28</v>
      </c>
      <c r="E31" s="3"/>
      <c r="F31" s="3"/>
      <c r="G31" s="3"/>
      <c r="H31" s="3"/>
      <c r="I31" s="3"/>
      <c r="J31" s="3"/>
      <c r="K31" s="3"/>
      <c r="L31" s="3"/>
      <c r="M31" s="3"/>
      <c r="N31" s="2"/>
      <c r="O31" s="2"/>
      <c r="P31" s="2"/>
    </row>
    <row r="32" spans="2:16" ht="16.2" customHeight="1">
      <c r="D32" s="19"/>
      <c r="E32" s="19"/>
      <c r="F32" s="19"/>
      <c r="G32" s="19"/>
      <c r="H32" s="19"/>
      <c r="I32" s="19"/>
      <c r="J32" s="19"/>
      <c r="K32" s="19"/>
      <c r="L32" s="19"/>
      <c r="M32" s="19"/>
      <c r="N32" s="2"/>
      <c r="O32" s="2"/>
      <c r="P32" s="2"/>
    </row>
    <row r="33" spans="4:16" ht="15.6" thickBot="1">
      <c r="D33" s="22" t="s">
        <v>29</v>
      </c>
      <c r="E33" s="22" t="s">
        <v>6</v>
      </c>
      <c r="F33" s="22" t="s">
        <v>30</v>
      </c>
      <c r="G33" s="22" t="s">
        <v>31</v>
      </c>
      <c r="H33" s="22" t="s">
        <v>32</v>
      </c>
      <c r="I33" s="22" t="s">
        <v>33</v>
      </c>
      <c r="J33" s="2"/>
      <c r="K33" s="2"/>
      <c r="L33" s="2"/>
      <c r="M33" s="2"/>
      <c r="N33" s="2"/>
      <c r="O33" s="2"/>
      <c r="P33" s="2"/>
    </row>
    <row r="34" spans="4:16">
      <c r="D34" s="2" t="s">
        <v>34</v>
      </c>
      <c r="E34" s="2" t="s">
        <v>35</v>
      </c>
      <c r="F34" s="11">
        <v>0</v>
      </c>
      <c r="G34" s="11">
        <v>5.0000000000000001E-3</v>
      </c>
      <c r="H34" s="11">
        <v>0.01</v>
      </c>
      <c r="I34" s="2" t="s">
        <v>36</v>
      </c>
      <c r="J34" s="2"/>
      <c r="K34" s="2"/>
      <c r="L34" s="2"/>
      <c r="M34" s="2"/>
      <c r="N34" s="2"/>
      <c r="O34" s="2"/>
      <c r="P34" s="2"/>
    </row>
    <row r="35" spans="4:16">
      <c r="D35" s="2" t="s">
        <v>37</v>
      </c>
      <c r="E35" s="2" t="s">
        <v>35</v>
      </c>
      <c r="F35" s="11">
        <v>0</v>
      </c>
      <c r="G35" s="11">
        <v>5.0000000000000001E-3</v>
      </c>
      <c r="H35" s="11">
        <v>0.01</v>
      </c>
      <c r="I35" s="2" t="s">
        <v>36</v>
      </c>
      <c r="J35" s="2"/>
      <c r="K35" s="2"/>
      <c r="L35" s="2"/>
      <c r="M35" s="2"/>
      <c r="N35" s="2"/>
      <c r="O35" s="2"/>
      <c r="P35" s="2"/>
    </row>
    <row r="36" spans="4:16">
      <c r="D36" s="2" t="s">
        <v>38</v>
      </c>
      <c r="E36" s="2" t="s">
        <v>35</v>
      </c>
      <c r="F36" s="11">
        <v>0</v>
      </c>
      <c r="G36" s="11">
        <v>5.0000000000000001E-3</v>
      </c>
      <c r="H36" s="11">
        <v>0.01</v>
      </c>
      <c r="I36" s="2" t="s">
        <v>36</v>
      </c>
      <c r="J36" s="2"/>
      <c r="K36" s="2"/>
      <c r="L36" s="2"/>
      <c r="M36" s="2"/>
      <c r="N36" s="2"/>
      <c r="O36" s="2"/>
      <c r="P36" s="2"/>
    </row>
    <row r="37" spans="4:16">
      <c r="D37" s="2" t="s">
        <v>39</v>
      </c>
      <c r="E37" s="2" t="s">
        <v>35</v>
      </c>
      <c r="F37" s="11">
        <v>0.02</v>
      </c>
      <c r="G37" s="11">
        <v>0.04</v>
      </c>
      <c r="H37" s="11">
        <v>0.06</v>
      </c>
      <c r="I37" s="2" t="s">
        <v>40</v>
      </c>
      <c r="J37" s="2"/>
      <c r="K37" s="2"/>
      <c r="L37" s="2"/>
      <c r="M37" s="2"/>
      <c r="N37" s="2"/>
      <c r="O37" s="2"/>
      <c r="P37" s="2"/>
    </row>
    <row r="38" spans="4:16">
      <c r="D38" s="2" t="s">
        <v>41</v>
      </c>
      <c r="E38" s="2" t="s">
        <v>35</v>
      </c>
      <c r="F38" s="11">
        <v>0.03</v>
      </c>
      <c r="G38" s="11">
        <v>0.05</v>
      </c>
      <c r="H38" s="11">
        <v>7.0000000000000007E-2</v>
      </c>
      <c r="I38" s="2" t="s">
        <v>42</v>
      </c>
      <c r="J38" s="2"/>
      <c r="K38" s="2"/>
      <c r="L38" s="2"/>
      <c r="M38" s="2"/>
      <c r="N38" s="2"/>
      <c r="O38" s="2"/>
      <c r="P38" s="2"/>
    </row>
    <row r="39" spans="4:16">
      <c r="D39" s="2" t="s">
        <v>43</v>
      </c>
      <c r="E39" s="2" t="s">
        <v>35</v>
      </c>
      <c r="F39" s="11">
        <v>0.02</v>
      </c>
      <c r="G39" s="11">
        <v>0.04</v>
      </c>
      <c r="H39" s="11">
        <v>0.06</v>
      </c>
      <c r="I39" s="2" t="s">
        <v>36</v>
      </c>
      <c r="J39" s="2"/>
      <c r="K39" s="2"/>
      <c r="L39" s="2"/>
      <c r="M39" s="2"/>
      <c r="N39" s="2"/>
      <c r="O39" s="2"/>
      <c r="P39" s="2"/>
    </row>
    <row r="40" spans="4:16">
      <c r="D40" s="2" t="s">
        <v>44</v>
      </c>
      <c r="E40" s="2" t="s">
        <v>45</v>
      </c>
      <c r="F40" s="11">
        <v>0.05</v>
      </c>
      <c r="G40" s="11">
        <v>0.15</v>
      </c>
      <c r="H40" s="11">
        <v>0.3</v>
      </c>
      <c r="I40" s="2" t="s">
        <v>36</v>
      </c>
      <c r="J40" s="2"/>
      <c r="K40" s="2"/>
      <c r="L40" s="2"/>
      <c r="M40" s="2"/>
      <c r="N40" s="2"/>
      <c r="O40" s="2"/>
      <c r="P40" s="2"/>
    </row>
    <row r="41" spans="4:16">
      <c r="D41" s="2" t="s">
        <v>46</v>
      </c>
      <c r="E41" s="2" t="s">
        <v>45</v>
      </c>
      <c r="F41" s="11">
        <v>0.1</v>
      </c>
      <c r="G41" s="11">
        <v>0.25</v>
      </c>
      <c r="H41" s="11">
        <v>0.45</v>
      </c>
      <c r="I41" s="2" t="s">
        <v>36</v>
      </c>
      <c r="J41" s="2"/>
      <c r="K41" s="2"/>
      <c r="L41" s="2"/>
      <c r="M41" s="2"/>
      <c r="N41" s="2"/>
      <c r="O41" s="2"/>
      <c r="P41" s="2"/>
    </row>
    <row r="42" spans="4:16">
      <c r="D42" s="2" t="s">
        <v>47</v>
      </c>
      <c r="E42" s="2" t="s">
        <v>45</v>
      </c>
      <c r="F42" s="11">
        <v>0.05</v>
      </c>
      <c r="G42" s="11">
        <v>0.15</v>
      </c>
      <c r="H42" s="11">
        <v>0.3</v>
      </c>
      <c r="I42" s="2" t="s">
        <v>36</v>
      </c>
      <c r="J42" s="2"/>
      <c r="K42" s="2"/>
      <c r="L42" s="2"/>
      <c r="M42" s="2"/>
      <c r="N42" s="2"/>
      <c r="O42" s="2"/>
      <c r="P42" s="2"/>
    </row>
    <row r="43" spans="4:16">
      <c r="D43" s="2" t="s">
        <v>48</v>
      </c>
      <c r="E43" s="2" t="s">
        <v>49</v>
      </c>
      <c r="F43" s="73">
        <v>80</v>
      </c>
      <c r="G43" s="73">
        <v>80</v>
      </c>
      <c r="H43" s="73">
        <v>80</v>
      </c>
      <c r="I43" s="2" t="s">
        <v>36</v>
      </c>
      <c r="J43" s="2"/>
      <c r="K43" s="2"/>
      <c r="L43" s="2"/>
      <c r="M43" s="2"/>
      <c r="N43" s="2"/>
      <c r="O43" s="2"/>
      <c r="P43" s="2"/>
    </row>
    <row r="44" spans="4:16">
      <c r="D44" s="2" t="s">
        <v>50</v>
      </c>
      <c r="E44" s="2" t="s">
        <v>49</v>
      </c>
      <c r="F44" s="73">
        <v>30</v>
      </c>
      <c r="G44" s="73">
        <v>30</v>
      </c>
      <c r="H44" s="73">
        <v>30</v>
      </c>
      <c r="I44" s="2" t="s">
        <v>36</v>
      </c>
      <c r="J44" s="2"/>
      <c r="K44" s="2"/>
      <c r="L44" s="2"/>
      <c r="M44" s="2"/>
      <c r="N44" s="2"/>
      <c r="O44" s="2"/>
      <c r="P44" s="2"/>
    </row>
    <row r="45" spans="4:16">
      <c r="D45" s="2" t="s">
        <v>51</v>
      </c>
      <c r="E45" s="2" t="s">
        <v>52</v>
      </c>
      <c r="F45" s="73">
        <v>30</v>
      </c>
      <c r="G45" s="73">
        <v>30</v>
      </c>
      <c r="H45" s="73">
        <v>30</v>
      </c>
      <c r="I45" s="2" t="s">
        <v>36</v>
      </c>
      <c r="J45" s="2"/>
      <c r="K45" s="2"/>
      <c r="L45" s="2"/>
      <c r="M45" s="2"/>
      <c r="N45" s="2"/>
      <c r="O45" s="2"/>
      <c r="P45" s="2"/>
    </row>
    <row r="46" spans="4:16">
      <c r="D46" s="2" t="s">
        <v>53</v>
      </c>
      <c r="E46" s="2" t="s">
        <v>45</v>
      </c>
      <c r="F46" s="11">
        <v>1</v>
      </c>
      <c r="G46" s="11">
        <v>1</v>
      </c>
      <c r="H46" s="11">
        <v>1</v>
      </c>
      <c r="I46" s="2" t="s">
        <v>54</v>
      </c>
      <c r="J46" s="2"/>
      <c r="K46" s="2"/>
      <c r="L46" s="2"/>
      <c r="M46" s="2"/>
      <c r="N46" s="2"/>
      <c r="O46" s="2"/>
      <c r="P46" s="2"/>
    </row>
    <row r="47" spans="4:16">
      <c r="D47" s="2" t="s">
        <v>55</v>
      </c>
      <c r="E47" s="2" t="s">
        <v>45</v>
      </c>
      <c r="F47" s="11">
        <v>0.2</v>
      </c>
      <c r="G47" s="11">
        <v>0.35</v>
      </c>
      <c r="H47" s="11">
        <v>0.5</v>
      </c>
      <c r="I47" s="2" t="s">
        <v>36</v>
      </c>
      <c r="J47" s="2"/>
      <c r="K47" s="2"/>
      <c r="L47" s="2"/>
      <c r="M47" s="2"/>
      <c r="N47" s="2"/>
      <c r="O47" s="2"/>
      <c r="P47" s="2"/>
    </row>
    <row r="48" spans="4:16">
      <c r="D48" s="2" t="s">
        <v>56</v>
      </c>
      <c r="E48" s="2" t="s">
        <v>45</v>
      </c>
      <c r="F48" s="11">
        <v>0.1</v>
      </c>
      <c r="G48" s="11">
        <v>0.2</v>
      </c>
      <c r="H48" s="11">
        <v>0.35</v>
      </c>
      <c r="I48" s="2" t="s">
        <v>36</v>
      </c>
      <c r="J48" s="2"/>
      <c r="K48" s="2"/>
      <c r="L48" s="2"/>
      <c r="M48" s="2"/>
      <c r="N48" s="2"/>
      <c r="O48" s="2"/>
      <c r="P48" s="2"/>
    </row>
    <row r="49" spans="2:16">
      <c r="D49" s="2" t="s">
        <v>57</v>
      </c>
      <c r="E49" s="2" t="s">
        <v>45</v>
      </c>
      <c r="F49" s="11">
        <v>0.25</v>
      </c>
      <c r="G49" s="11">
        <v>0.6</v>
      </c>
      <c r="H49" s="11">
        <v>1</v>
      </c>
      <c r="I49" s="2" t="s">
        <v>58</v>
      </c>
      <c r="J49" s="2"/>
      <c r="K49" s="2"/>
      <c r="L49" s="2"/>
      <c r="M49" s="2"/>
      <c r="N49" s="2"/>
      <c r="O49" s="2"/>
      <c r="P49" s="2"/>
    </row>
    <row r="50" spans="2:16">
      <c r="D50" s="2" t="s">
        <v>59</v>
      </c>
      <c r="E50" s="2" t="s">
        <v>45</v>
      </c>
      <c r="F50" s="11">
        <v>0.15</v>
      </c>
      <c r="G50" s="11">
        <v>0.4</v>
      </c>
      <c r="H50" s="11">
        <v>0.75</v>
      </c>
      <c r="I50" s="2" t="s">
        <v>58</v>
      </c>
      <c r="J50" s="2"/>
      <c r="K50" s="2"/>
      <c r="L50" s="2"/>
      <c r="M50" s="2"/>
      <c r="N50" s="2"/>
      <c r="O50" s="2"/>
      <c r="P50" s="2"/>
    </row>
    <row r="51" spans="2:16" ht="15.6" thickBot="1">
      <c r="D51" s="24" t="s">
        <v>60</v>
      </c>
      <c r="E51" s="24" t="s">
        <v>45</v>
      </c>
      <c r="F51" s="27">
        <v>0.1</v>
      </c>
      <c r="G51" s="27">
        <v>0.3</v>
      </c>
      <c r="H51" s="27">
        <v>0.6</v>
      </c>
      <c r="I51" s="24" t="s">
        <v>58</v>
      </c>
      <c r="J51" s="2"/>
      <c r="K51" s="2"/>
      <c r="L51" s="2"/>
      <c r="M51" s="2"/>
      <c r="N51" s="2"/>
      <c r="O51" s="2"/>
      <c r="P51" s="2"/>
    </row>
    <row r="52" spans="2:16" ht="15.6" thickTop="1">
      <c r="D52" s="2"/>
      <c r="E52" s="2"/>
      <c r="F52" s="2"/>
      <c r="G52" s="2"/>
      <c r="H52" s="2"/>
      <c r="I52" s="2"/>
      <c r="J52" s="2"/>
      <c r="K52" s="2"/>
      <c r="L52" s="2"/>
      <c r="M52" s="2"/>
      <c r="N52" s="2"/>
      <c r="O52" s="2"/>
      <c r="P52" s="2"/>
    </row>
    <row r="53" spans="2:16">
      <c r="D53" s="2"/>
      <c r="E53" s="2"/>
      <c r="F53" s="2"/>
      <c r="G53" s="2"/>
      <c r="H53" s="2"/>
      <c r="I53" s="2"/>
      <c r="J53" s="2"/>
      <c r="K53" s="2"/>
      <c r="L53" s="2"/>
      <c r="M53" s="2"/>
      <c r="N53" s="2"/>
      <c r="O53" s="2"/>
      <c r="P53" s="2"/>
    </row>
    <row r="54" spans="2:16" ht="16.2" customHeight="1">
      <c r="B54" s="3" t="s">
        <v>61</v>
      </c>
      <c r="D54" s="3" t="s">
        <v>62</v>
      </c>
      <c r="E54" s="3"/>
      <c r="F54" s="3"/>
      <c r="G54" s="3"/>
      <c r="H54" s="3"/>
      <c r="I54" s="3"/>
      <c r="J54" s="3"/>
      <c r="K54" s="3"/>
      <c r="L54" s="3"/>
      <c r="M54" s="3"/>
      <c r="N54" s="2"/>
      <c r="O54" s="2"/>
      <c r="P54" s="2"/>
    </row>
    <row r="55" spans="2:16" ht="16.2" customHeight="1">
      <c r="D55" s="19"/>
      <c r="E55" s="19"/>
      <c r="F55" s="19"/>
      <c r="G55" s="19"/>
      <c r="H55" s="19"/>
      <c r="I55" s="19"/>
      <c r="J55" s="19"/>
      <c r="K55" s="19"/>
      <c r="L55" s="19"/>
      <c r="M55" s="19"/>
      <c r="N55" s="2"/>
      <c r="O55" s="2"/>
      <c r="P55" s="2"/>
    </row>
    <row r="56" spans="2:16" ht="15.6" thickBot="1">
      <c r="D56" s="22" t="s">
        <v>29</v>
      </c>
      <c r="E56" s="22" t="s">
        <v>6</v>
      </c>
      <c r="F56" s="22" t="s">
        <v>63</v>
      </c>
      <c r="G56" s="22" t="s">
        <v>64</v>
      </c>
      <c r="H56" s="22" t="s">
        <v>33</v>
      </c>
      <c r="I56" s="2"/>
      <c r="J56" s="2"/>
      <c r="K56" s="2"/>
      <c r="L56" s="2"/>
      <c r="M56" s="2"/>
      <c r="N56" s="2"/>
      <c r="O56" s="2"/>
      <c r="P56" s="2"/>
    </row>
    <row r="57" spans="2:16">
      <c r="D57" s="2" t="s">
        <v>65</v>
      </c>
      <c r="E57" s="2" t="s">
        <v>66</v>
      </c>
      <c r="F57" s="12">
        <v>2000000</v>
      </c>
      <c r="G57" s="2" t="s">
        <v>67</v>
      </c>
      <c r="H57" s="2" t="s">
        <v>68</v>
      </c>
      <c r="I57" s="2"/>
      <c r="J57" s="2"/>
      <c r="K57" s="2"/>
      <c r="L57" s="2"/>
      <c r="M57" s="2"/>
      <c r="N57" s="2"/>
      <c r="O57" s="2"/>
      <c r="P57" s="2"/>
    </row>
    <row r="58" spans="2:16">
      <c r="D58" s="2" t="s">
        <v>69</v>
      </c>
      <c r="E58" s="2" t="s">
        <v>70</v>
      </c>
      <c r="F58" s="12">
        <v>50</v>
      </c>
      <c r="G58" s="2" t="s">
        <v>67</v>
      </c>
      <c r="H58" s="2" t="s">
        <v>68</v>
      </c>
      <c r="I58" s="2"/>
      <c r="J58" s="2"/>
      <c r="K58" s="2"/>
      <c r="L58" s="2"/>
      <c r="M58" s="2"/>
      <c r="N58" s="2"/>
      <c r="O58" s="2"/>
      <c r="P58" s="2"/>
    </row>
    <row r="59" spans="2:16">
      <c r="D59" s="2" t="s">
        <v>71</v>
      </c>
      <c r="E59" s="2" t="s">
        <v>66</v>
      </c>
      <c r="F59" s="13">
        <f>F57+9*F58</f>
        <v>2000450</v>
      </c>
      <c r="G59" s="2" t="s">
        <v>72</v>
      </c>
      <c r="H59" s="2" t="s">
        <v>73</v>
      </c>
      <c r="I59" s="2"/>
      <c r="J59" s="2"/>
      <c r="K59" s="2"/>
      <c r="L59" s="2"/>
      <c r="M59" s="2"/>
      <c r="N59" s="2"/>
      <c r="O59" s="2"/>
      <c r="P59" s="2"/>
    </row>
    <row r="60" spans="2:16">
      <c r="D60" s="2" t="s">
        <v>74</v>
      </c>
      <c r="E60" s="2" t="s">
        <v>75</v>
      </c>
      <c r="F60" s="12">
        <v>2</v>
      </c>
      <c r="G60" s="2" t="s">
        <v>67</v>
      </c>
      <c r="H60" s="2" t="s">
        <v>68</v>
      </c>
      <c r="I60" s="2"/>
      <c r="J60" s="2"/>
      <c r="K60" s="2"/>
      <c r="L60" s="2"/>
      <c r="M60" s="2"/>
      <c r="N60" s="2"/>
      <c r="O60" s="2"/>
      <c r="P60" s="2"/>
    </row>
    <row r="61" spans="2:16">
      <c r="D61" s="2" t="s">
        <v>76</v>
      </c>
      <c r="E61" s="2" t="s">
        <v>75</v>
      </c>
      <c r="F61" s="12">
        <v>8</v>
      </c>
      <c r="G61" s="2" t="s">
        <v>67</v>
      </c>
      <c r="H61" s="2" t="s">
        <v>77</v>
      </c>
      <c r="I61" s="2"/>
      <c r="J61" s="2"/>
      <c r="K61" s="2"/>
      <c r="L61" s="2"/>
      <c r="M61" s="2"/>
      <c r="N61" s="2"/>
      <c r="O61" s="2"/>
      <c r="P61" s="2"/>
    </row>
    <row r="62" spans="2:16" ht="15.6" thickBot="1">
      <c r="D62" s="24" t="s">
        <v>78</v>
      </c>
      <c r="E62" s="24" t="s">
        <v>79</v>
      </c>
      <c r="F62" s="28">
        <v>9.53125</v>
      </c>
      <c r="G62" s="24" t="s">
        <v>80</v>
      </c>
      <c r="H62" s="67" t="s">
        <v>81</v>
      </c>
      <c r="I62" s="2"/>
      <c r="J62" s="2"/>
      <c r="K62" s="2"/>
      <c r="L62" s="2"/>
      <c r="M62" s="2"/>
      <c r="N62" s="2"/>
      <c r="O62" s="2"/>
      <c r="P62" s="2"/>
    </row>
    <row r="63" spans="2:16" ht="15.6" thickTop="1">
      <c r="D63" s="2"/>
      <c r="E63" s="2"/>
      <c r="F63" s="2"/>
      <c r="G63" s="2"/>
      <c r="H63" s="2"/>
      <c r="I63" s="2"/>
      <c r="J63" s="2"/>
      <c r="K63" s="2"/>
      <c r="L63" s="2"/>
      <c r="M63" s="2"/>
      <c r="N63" s="2"/>
      <c r="O63" s="2"/>
      <c r="P63" s="2"/>
    </row>
    <row r="64" spans="2:16" ht="16.2" customHeight="1">
      <c r="B64" s="3" t="s">
        <v>82</v>
      </c>
      <c r="D64" s="74" t="s">
        <v>83</v>
      </c>
      <c r="E64" s="74"/>
      <c r="F64" s="74"/>
      <c r="G64" s="74"/>
      <c r="H64" s="74"/>
      <c r="I64" s="74"/>
      <c r="J64" s="74"/>
      <c r="K64" s="74"/>
      <c r="L64" s="74"/>
      <c r="M64" s="74"/>
      <c r="N64" s="2"/>
      <c r="O64" s="2"/>
      <c r="P64" s="2"/>
    </row>
    <row r="65" spans="4:16" ht="16.2" customHeight="1">
      <c r="D65" s="19"/>
      <c r="E65" s="19"/>
      <c r="F65" s="19"/>
      <c r="G65" s="19"/>
      <c r="H65" s="19"/>
      <c r="I65" s="19"/>
      <c r="J65" s="19"/>
      <c r="K65" s="19"/>
      <c r="L65" s="19"/>
      <c r="M65" s="19"/>
      <c r="N65" s="2"/>
      <c r="O65" s="2"/>
      <c r="P65" s="2"/>
    </row>
    <row r="66" spans="4:16" ht="15.6" thickBot="1">
      <c r="D66" s="22" t="s">
        <v>29</v>
      </c>
      <c r="E66" s="22" t="s">
        <v>6</v>
      </c>
      <c r="F66" s="22" t="s">
        <v>30</v>
      </c>
      <c r="G66" s="22" t="s">
        <v>31</v>
      </c>
      <c r="H66" s="22" t="s">
        <v>32</v>
      </c>
      <c r="I66" s="2"/>
      <c r="J66" s="2"/>
      <c r="K66" s="2"/>
      <c r="L66" s="2"/>
      <c r="M66" s="2"/>
      <c r="N66" s="2"/>
      <c r="O66" s="2"/>
      <c r="P66" s="2"/>
    </row>
    <row r="67" spans="4:16">
      <c r="D67" s="2" t="s">
        <v>84</v>
      </c>
      <c r="E67" s="2" t="s">
        <v>35</v>
      </c>
      <c r="F67" s="11">
        <v>0</v>
      </c>
      <c r="G67" s="11">
        <v>5.0000000000000001E-3</v>
      </c>
      <c r="H67" s="11">
        <v>0.01</v>
      </c>
      <c r="I67" s="2"/>
      <c r="J67" s="2"/>
      <c r="K67" s="2"/>
      <c r="L67" s="2"/>
      <c r="M67" s="2"/>
      <c r="N67" s="2"/>
      <c r="O67" s="2"/>
      <c r="P67" s="2"/>
    </row>
    <row r="68" spans="4:16" ht="15.6" thickBot="1">
      <c r="D68" s="24" t="s">
        <v>85</v>
      </c>
      <c r="E68" s="24" t="s">
        <v>45</v>
      </c>
      <c r="F68" s="27">
        <v>0.05</v>
      </c>
      <c r="G68" s="27">
        <v>0.1</v>
      </c>
      <c r="H68" s="27">
        <v>0.2</v>
      </c>
      <c r="I68" s="2"/>
      <c r="J68" s="2"/>
      <c r="K68" s="2"/>
      <c r="L68" s="2"/>
      <c r="M68" s="2"/>
      <c r="N68" s="2"/>
      <c r="O68" s="2"/>
      <c r="P68" s="2"/>
    </row>
    <row r="69" spans="4:16" ht="15.6" thickTop="1">
      <c r="D69" s="2"/>
      <c r="E69" s="2"/>
      <c r="F69" s="2"/>
      <c r="G69" s="2"/>
      <c r="H69" s="2"/>
      <c r="I69" s="2"/>
      <c r="J69" s="2"/>
      <c r="K69" s="2"/>
      <c r="L69" s="2"/>
      <c r="M69" s="2"/>
      <c r="N69" s="2"/>
      <c r="O69" s="2"/>
      <c r="P69" s="2"/>
    </row>
    <row r="70" spans="4:16">
      <c r="D70" s="2"/>
      <c r="E70" s="2"/>
      <c r="F70" s="2"/>
      <c r="G70" s="2"/>
      <c r="H70" s="2"/>
      <c r="I70" s="2"/>
      <c r="J70" s="2"/>
      <c r="K70" s="2"/>
      <c r="L70" s="2"/>
      <c r="M70" s="2"/>
      <c r="N70" s="2"/>
      <c r="O70" s="2"/>
      <c r="P70" s="2"/>
    </row>
    <row r="71" spans="4:16" ht="16.2" customHeight="1">
      <c r="D71" s="74" t="s">
        <v>86</v>
      </c>
      <c r="E71" s="74"/>
      <c r="F71" s="74"/>
      <c r="G71" s="74"/>
      <c r="H71" s="74"/>
      <c r="I71" s="74"/>
      <c r="J71" s="74"/>
      <c r="K71" s="74"/>
      <c r="L71" s="74"/>
      <c r="M71" s="74"/>
      <c r="N71" s="2"/>
      <c r="O71" s="2"/>
      <c r="P71" s="2"/>
    </row>
    <row r="72" spans="4:16">
      <c r="D72" s="2" t="s">
        <v>87</v>
      </c>
      <c r="E72" s="12" t="s">
        <v>88</v>
      </c>
      <c r="F72" s="2" t="s">
        <v>89</v>
      </c>
      <c r="G72" s="2"/>
      <c r="H72" s="2"/>
      <c r="I72" s="2"/>
      <c r="J72" s="2"/>
      <c r="K72" s="2"/>
      <c r="L72" s="2"/>
      <c r="M72" s="2"/>
      <c r="N72" s="2"/>
      <c r="O72" s="2"/>
      <c r="P72" s="2"/>
    </row>
    <row r="73" spans="4:16">
      <c r="D73" s="2" t="s">
        <v>90</v>
      </c>
      <c r="E73" s="12" t="s">
        <v>91</v>
      </c>
      <c r="F73" s="2" t="s">
        <v>92</v>
      </c>
      <c r="G73" s="2"/>
      <c r="H73" s="2"/>
      <c r="I73" s="2"/>
      <c r="J73" s="2"/>
      <c r="K73" s="2"/>
      <c r="L73" s="2"/>
      <c r="M73" s="2"/>
      <c r="N73" s="2"/>
      <c r="O73" s="2"/>
      <c r="P73" s="2"/>
    </row>
    <row r="74" spans="4:16">
      <c r="D74" s="2" t="s">
        <v>93</v>
      </c>
      <c r="E74" s="12" t="s">
        <v>94</v>
      </c>
      <c r="F74" s="2" t="s">
        <v>95</v>
      </c>
      <c r="G74" s="2"/>
      <c r="H74" s="2"/>
      <c r="I74" s="2"/>
      <c r="J74" s="2"/>
      <c r="K74" s="2"/>
      <c r="L74" s="2"/>
      <c r="M74" s="2"/>
      <c r="N74" s="2"/>
      <c r="O74" s="2"/>
      <c r="P74" s="2"/>
    </row>
    <row r="75" spans="4:16" ht="15.6" thickBot="1">
      <c r="D75" s="24" t="s">
        <v>96</v>
      </c>
      <c r="E75" s="29" t="s">
        <v>97</v>
      </c>
      <c r="F75" s="24" t="s">
        <v>98</v>
      </c>
      <c r="G75" s="24"/>
      <c r="H75" s="24"/>
      <c r="I75" s="2"/>
      <c r="J75" s="2"/>
      <c r="K75" s="2"/>
      <c r="L75" s="2"/>
      <c r="M75" s="2"/>
      <c r="N75" s="2"/>
      <c r="O75" s="2"/>
      <c r="P75" s="2"/>
    </row>
    <row r="76" spans="4:16" ht="15.6" thickTop="1">
      <c r="D76" s="2"/>
      <c r="E76" s="2"/>
      <c r="F76" s="2"/>
      <c r="G76" s="2"/>
      <c r="H76" s="2"/>
      <c r="I76" s="2"/>
      <c r="J76" s="2"/>
      <c r="K76" s="2"/>
      <c r="L76" s="2"/>
      <c r="M76" s="2"/>
      <c r="N76" s="2"/>
      <c r="O76" s="2"/>
      <c r="P76" s="2"/>
    </row>
    <row r="77" spans="4:16">
      <c r="D77" s="2"/>
      <c r="E77" s="2"/>
      <c r="F77" s="2"/>
      <c r="G77" s="2"/>
      <c r="H77" s="2"/>
      <c r="I77" s="2"/>
      <c r="J77" s="2"/>
      <c r="K77" s="2"/>
      <c r="L77" s="2"/>
      <c r="M77" s="2"/>
      <c r="N77" s="2"/>
      <c r="O77" s="2"/>
      <c r="P77" s="2"/>
    </row>
    <row r="78" spans="4:16">
      <c r="D78" s="2"/>
      <c r="E78" s="2"/>
      <c r="F78" s="2"/>
      <c r="G78" s="2"/>
      <c r="H78" s="2"/>
      <c r="I78" s="2"/>
      <c r="J78" s="2"/>
      <c r="K78" s="2"/>
      <c r="L78" s="2"/>
      <c r="M78" s="2"/>
      <c r="N78" s="2"/>
      <c r="O78" s="2"/>
      <c r="P78" s="2"/>
    </row>
    <row r="79" spans="4:16">
      <c r="D79" s="2"/>
      <c r="E79" s="2"/>
      <c r="F79" s="2"/>
      <c r="G79" s="2"/>
      <c r="H79" s="2"/>
      <c r="I79" s="2"/>
      <c r="J79" s="2"/>
      <c r="K79" s="2"/>
      <c r="L79" s="2"/>
      <c r="M79" s="2"/>
      <c r="N79" s="2"/>
      <c r="O79" s="2"/>
      <c r="P79" s="2"/>
    </row>
    <row r="80" spans="4:16">
      <c r="D80" s="2"/>
      <c r="E80" s="2"/>
      <c r="F80" s="2"/>
      <c r="G80" s="2"/>
      <c r="H80" s="2"/>
      <c r="I80" s="2"/>
      <c r="J80" s="2"/>
      <c r="K80" s="2"/>
      <c r="L80" s="2"/>
      <c r="M80" s="2"/>
      <c r="N80" s="2"/>
      <c r="O80" s="2"/>
      <c r="P80" s="2"/>
    </row>
    <row r="81" spans="4:16">
      <c r="D81" s="2"/>
      <c r="E81" s="2"/>
      <c r="F81" s="2"/>
      <c r="G81" s="2"/>
      <c r="H81" s="2"/>
      <c r="I81" s="2"/>
      <c r="J81" s="2"/>
      <c r="K81" s="2"/>
      <c r="L81" s="2"/>
      <c r="M81" s="2"/>
      <c r="N81" s="2"/>
      <c r="O81" s="2"/>
      <c r="P81" s="2"/>
    </row>
    <row r="82" spans="4:16">
      <c r="D82" s="2"/>
      <c r="E82" s="2"/>
      <c r="F82" s="2"/>
      <c r="G82" s="2"/>
      <c r="H82" s="2"/>
      <c r="I82" s="2"/>
      <c r="J82" s="2"/>
      <c r="K82" s="2"/>
      <c r="L82" s="2"/>
      <c r="M82" s="2"/>
      <c r="N82" s="2"/>
      <c r="O82" s="2"/>
      <c r="P82" s="2"/>
    </row>
    <row r="83" spans="4:16">
      <c r="D83" s="2"/>
      <c r="E83" s="2"/>
      <c r="F83" s="2"/>
      <c r="G83" s="2"/>
      <c r="H83" s="2"/>
      <c r="I83" s="2"/>
      <c r="J83" s="2"/>
      <c r="K83" s="2"/>
      <c r="L83" s="2"/>
      <c r="M83" s="2"/>
      <c r="N83" s="2"/>
      <c r="O83" s="2"/>
      <c r="P83" s="2"/>
    </row>
    <row r="84" spans="4:16">
      <c r="D84" s="2"/>
      <c r="E84" s="2"/>
      <c r="F84" s="2"/>
      <c r="G84" s="2"/>
      <c r="H84" s="2"/>
      <c r="I84" s="2"/>
      <c r="J84" s="2"/>
      <c r="K84" s="2"/>
      <c r="L84" s="2"/>
      <c r="M84" s="2"/>
      <c r="N84" s="2"/>
      <c r="O84" s="2"/>
      <c r="P84" s="2"/>
    </row>
    <row r="85" spans="4:16">
      <c r="D85" s="2"/>
      <c r="E85" s="2"/>
      <c r="F85" s="2"/>
      <c r="G85" s="2"/>
      <c r="H85" s="2"/>
      <c r="I85" s="2"/>
      <c r="J85" s="2"/>
      <c r="K85" s="2"/>
      <c r="L85" s="2"/>
      <c r="M85" s="2"/>
      <c r="N85" s="2"/>
      <c r="O85" s="2"/>
      <c r="P85" s="2"/>
    </row>
    <row r="86" spans="4:16">
      <c r="D86" s="2"/>
      <c r="E86" s="2"/>
      <c r="F86" s="2"/>
      <c r="G86" s="2"/>
      <c r="H86" s="2"/>
      <c r="I86" s="2"/>
      <c r="J86" s="2"/>
      <c r="K86" s="2"/>
      <c r="L86" s="2"/>
      <c r="M86" s="2"/>
      <c r="N86" s="2"/>
      <c r="O86" s="2"/>
      <c r="P86" s="2"/>
    </row>
    <row r="87" spans="4:16">
      <c r="D87" s="2"/>
      <c r="E87" s="2"/>
      <c r="F87" s="2"/>
      <c r="G87" s="2"/>
      <c r="H87" s="2"/>
      <c r="I87" s="2"/>
      <c r="J87" s="2"/>
      <c r="K87" s="2"/>
      <c r="L87" s="2"/>
      <c r="M87" s="2"/>
      <c r="N87" s="2"/>
      <c r="O87" s="2"/>
      <c r="P87" s="2"/>
    </row>
    <row r="88" spans="4:16">
      <c r="D88" s="2"/>
      <c r="E88" s="2"/>
      <c r="F88" s="2"/>
      <c r="G88" s="2"/>
      <c r="H88" s="2"/>
      <c r="I88" s="2"/>
      <c r="J88" s="2"/>
      <c r="K88" s="2"/>
      <c r="L88" s="2"/>
      <c r="M88" s="2"/>
      <c r="N88" s="2"/>
      <c r="O88" s="2"/>
      <c r="P88" s="2"/>
    </row>
    <row r="89" spans="4:16">
      <c r="D89" s="2"/>
      <c r="E89" s="2"/>
      <c r="F89" s="2"/>
      <c r="G89" s="2"/>
      <c r="H89" s="2"/>
      <c r="I89" s="2"/>
      <c r="J89" s="2"/>
      <c r="K89" s="2"/>
      <c r="L89" s="2"/>
      <c r="M89" s="2"/>
      <c r="N89" s="2"/>
      <c r="O89" s="2"/>
      <c r="P89" s="2"/>
    </row>
    <row r="90" spans="4:16">
      <c r="D90" s="2"/>
      <c r="E90" s="2"/>
      <c r="F90" s="2"/>
      <c r="G90" s="2"/>
      <c r="H90" s="2"/>
      <c r="I90" s="2"/>
      <c r="J90" s="2"/>
      <c r="K90" s="2"/>
      <c r="L90" s="2"/>
      <c r="M90" s="2"/>
      <c r="N90" s="2"/>
      <c r="O90" s="2"/>
      <c r="P90" s="2"/>
    </row>
    <row r="91" spans="4:16">
      <c r="D91" s="2"/>
      <c r="E91" s="2"/>
      <c r="F91" s="2"/>
      <c r="G91" s="2"/>
      <c r="H91" s="2"/>
      <c r="I91" s="2"/>
      <c r="J91" s="2"/>
      <c r="K91" s="2"/>
      <c r="L91" s="2"/>
      <c r="M91" s="2"/>
      <c r="N91" s="2"/>
      <c r="O91" s="2"/>
      <c r="P91" s="2"/>
    </row>
    <row r="92" spans="4:16">
      <c r="D92" s="2"/>
      <c r="E92" s="2"/>
      <c r="F92" s="2"/>
      <c r="G92" s="2"/>
      <c r="H92" s="2"/>
      <c r="I92" s="2"/>
      <c r="J92" s="2"/>
      <c r="K92" s="2"/>
      <c r="L92" s="2"/>
      <c r="M92" s="2"/>
      <c r="N92" s="2"/>
      <c r="O92" s="2"/>
      <c r="P92" s="2"/>
    </row>
    <row r="93" spans="4:16">
      <c r="D93" s="2"/>
      <c r="E93" s="2"/>
      <c r="F93" s="2"/>
      <c r="G93" s="2"/>
      <c r="H93" s="2"/>
      <c r="I93" s="2"/>
      <c r="J93" s="2"/>
      <c r="K93" s="2"/>
      <c r="L93" s="2"/>
      <c r="M93" s="2"/>
      <c r="N93" s="2"/>
      <c r="O93" s="2"/>
      <c r="P93" s="2"/>
    </row>
    <row r="94" spans="4:16">
      <c r="D94" s="2"/>
      <c r="E94" s="2"/>
      <c r="F94" s="2"/>
      <c r="G94" s="2"/>
      <c r="H94" s="2"/>
      <c r="I94" s="2"/>
      <c r="J94" s="2"/>
      <c r="K94" s="2"/>
      <c r="L94" s="2"/>
      <c r="M94" s="2"/>
      <c r="N94" s="2"/>
      <c r="O94" s="2"/>
      <c r="P94" s="2"/>
    </row>
    <row r="95" spans="4:16">
      <c r="D95" s="2"/>
      <c r="E95" s="2"/>
      <c r="F95" s="2"/>
      <c r="G95" s="2"/>
      <c r="H95" s="2"/>
      <c r="I95" s="2"/>
      <c r="J95" s="2"/>
      <c r="K95" s="2"/>
      <c r="L95" s="2"/>
      <c r="M95" s="2"/>
      <c r="N95" s="2"/>
      <c r="O95" s="2"/>
      <c r="P95" s="2"/>
    </row>
    <row r="96" spans="4:16">
      <c r="D96" s="2"/>
      <c r="E96" s="2"/>
      <c r="F96" s="2"/>
      <c r="G96" s="2"/>
      <c r="H96" s="2"/>
      <c r="I96" s="2"/>
      <c r="J96" s="2"/>
      <c r="K96" s="2"/>
      <c r="L96" s="2"/>
      <c r="M96" s="2"/>
      <c r="N96" s="2"/>
      <c r="O96" s="2"/>
      <c r="P96" s="2"/>
    </row>
    <row r="97" spans="4:16">
      <c r="D97" s="2"/>
      <c r="E97" s="2"/>
      <c r="F97" s="2"/>
      <c r="G97" s="2"/>
      <c r="H97" s="2"/>
      <c r="I97" s="2"/>
      <c r="J97" s="2"/>
      <c r="K97" s="2"/>
      <c r="L97" s="2"/>
      <c r="M97" s="2"/>
      <c r="N97" s="2"/>
      <c r="O97" s="2"/>
      <c r="P97" s="2"/>
    </row>
    <row r="98" spans="4:16">
      <c r="D98" s="2"/>
      <c r="E98" s="2"/>
      <c r="F98" s="2"/>
      <c r="G98" s="2"/>
      <c r="H98" s="2"/>
      <c r="I98" s="2"/>
      <c r="J98" s="2"/>
      <c r="K98" s="2"/>
      <c r="L98" s="2"/>
      <c r="M98" s="2"/>
      <c r="N98" s="2"/>
      <c r="O98" s="2"/>
      <c r="P98" s="2"/>
    </row>
    <row r="99" spans="4:16">
      <c r="D99" s="2"/>
      <c r="E99" s="2"/>
      <c r="F99" s="2"/>
      <c r="G99" s="2"/>
      <c r="H99" s="2"/>
      <c r="I99" s="2"/>
      <c r="J99" s="2"/>
      <c r="K99" s="2"/>
      <c r="L99" s="2"/>
      <c r="M99" s="2"/>
      <c r="N99" s="2"/>
      <c r="O99" s="2"/>
      <c r="P99" s="2"/>
    </row>
    <row r="100" spans="4:16">
      <c r="D100" s="2"/>
      <c r="E100" s="2"/>
      <c r="F100" s="2"/>
      <c r="G100" s="2"/>
      <c r="H100" s="2"/>
      <c r="I100" s="2"/>
      <c r="J100" s="2"/>
      <c r="K100" s="2"/>
      <c r="L100" s="2"/>
      <c r="M100" s="2"/>
      <c r="N100" s="2"/>
      <c r="O100" s="2"/>
      <c r="P100" s="2"/>
    </row>
    <row r="101" spans="4:16">
      <c r="D101" s="2"/>
      <c r="E101" s="2"/>
      <c r="F101" s="2"/>
      <c r="G101" s="2"/>
      <c r="H101" s="2"/>
      <c r="I101" s="2"/>
      <c r="J101" s="2"/>
      <c r="K101" s="2"/>
      <c r="L101" s="2"/>
      <c r="M101" s="2"/>
      <c r="N101" s="2"/>
      <c r="O101" s="2"/>
      <c r="P101" s="2"/>
    </row>
    <row r="102" spans="4:16">
      <c r="D102" s="2"/>
      <c r="E102" s="2"/>
      <c r="F102" s="2"/>
      <c r="G102" s="2"/>
      <c r="H102" s="2"/>
      <c r="I102" s="2"/>
      <c r="J102" s="2"/>
      <c r="K102" s="2"/>
      <c r="L102" s="2"/>
      <c r="M102" s="2"/>
      <c r="N102" s="2"/>
      <c r="O102" s="2"/>
      <c r="P102" s="2"/>
    </row>
    <row r="103" spans="4:16">
      <c r="D103" s="2"/>
      <c r="E103" s="2"/>
      <c r="F103" s="2"/>
      <c r="G103" s="2"/>
      <c r="H103" s="2"/>
      <c r="I103" s="2"/>
      <c r="J103" s="2"/>
      <c r="K103" s="2"/>
      <c r="L103" s="2"/>
      <c r="M103" s="2"/>
      <c r="N103" s="2"/>
      <c r="O103" s="2"/>
      <c r="P103" s="2"/>
    </row>
    <row r="104" spans="4:16">
      <c r="D104" s="2"/>
      <c r="E104" s="2"/>
      <c r="F104" s="2"/>
      <c r="G104" s="2"/>
      <c r="H104" s="2"/>
      <c r="I104" s="2"/>
      <c r="J104" s="2"/>
      <c r="K104" s="2"/>
      <c r="L104" s="2"/>
      <c r="M104" s="2"/>
      <c r="N104" s="2"/>
      <c r="O104" s="2"/>
      <c r="P104" s="2"/>
    </row>
    <row r="105" spans="4:16">
      <c r="D105" s="2"/>
      <c r="E105" s="2"/>
      <c r="F105" s="2"/>
      <c r="G105" s="2"/>
      <c r="H105" s="2"/>
      <c r="I105" s="2"/>
      <c r="J105" s="2"/>
      <c r="K105" s="2"/>
      <c r="L105" s="2"/>
      <c r="M105" s="2"/>
      <c r="N105" s="2"/>
      <c r="O105" s="2"/>
      <c r="P105" s="2"/>
    </row>
    <row r="106" spans="4:16">
      <c r="D106" s="2"/>
      <c r="E106" s="2"/>
      <c r="F106" s="2"/>
      <c r="G106" s="2"/>
      <c r="H106" s="2"/>
      <c r="I106" s="2"/>
      <c r="J106" s="2"/>
      <c r="K106" s="2"/>
      <c r="L106" s="2"/>
      <c r="M106" s="2"/>
      <c r="N106" s="2"/>
      <c r="O106" s="2"/>
      <c r="P106" s="2"/>
    </row>
    <row r="107" spans="4:16">
      <c r="D107" s="2"/>
      <c r="E107" s="2"/>
      <c r="F107" s="2"/>
      <c r="G107" s="2"/>
      <c r="H107" s="2"/>
      <c r="I107" s="2"/>
      <c r="J107" s="2"/>
      <c r="K107" s="2"/>
      <c r="L107" s="2"/>
      <c r="M107" s="2"/>
      <c r="N107" s="2"/>
      <c r="O107" s="2"/>
      <c r="P107" s="2"/>
    </row>
    <row r="108" spans="4:16">
      <c r="D108" s="2"/>
      <c r="E108" s="2"/>
      <c r="F108" s="2"/>
      <c r="G108" s="2"/>
      <c r="H108" s="2"/>
      <c r="I108" s="2"/>
      <c r="J108" s="2"/>
      <c r="K108" s="2"/>
      <c r="L108" s="2"/>
      <c r="M108" s="2"/>
      <c r="N108" s="2"/>
      <c r="O108" s="2"/>
      <c r="P108" s="2"/>
    </row>
    <row r="109" spans="4:16">
      <c r="D109" s="2"/>
      <c r="E109" s="2"/>
      <c r="F109" s="2"/>
      <c r="G109" s="2"/>
      <c r="H109" s="2"/>
      <c r="I109" s="2"/>
      <c r="J109" s="2"/>
      <c r="K109" s="2"/>
      <c r="L109" s="2"/>
      <c r="M109" s="2"/>
      <c r="N109" s="2"/>
      <c r="O109" s="2"/>
      <c r="P109" s="2"/>
    </row>
    <row r="110" spans="4:16">
      <c r="D110" s="2"/>
      <c r="E110" s="2"/>
      <c r="F110" s="2"/>
      <c r="G110" s="2"/>
      <c r="H110" s="2"/>
      <c r="I110" s="2"/>
      <c r="J110" s="2"/>
      <c r="K110" s="2"/>
      <c r="L110" s="2"/>
      <c r="M110" s="2"/>
      <c r="N110" s="2"/>
      <c r="O110" s="2"/>
      <c r="P110" s="2"/>
    </row>
    <row r="111" spans="4:16">
      <c r="D111" s="2"/>
      <c r="E111" s="2"/>
      <c r="F111" s="2"/>
      <c r="G111" s="2"/>
      <c r="H111" s="2"/>
      <c r="I111" s="2"/>
      <c r="J111" s="2"/>
      <c r="K111" s="2"/>
      <c r="L111" s="2"/>
      <c r="M111" s="2"/>
      <c r="N111" s="2"/>
      <c r="O111" s="2"/>
      <c r="P111" s="2"/>
    </row>
    <row r="112" spans="4:16">
      <c r="D112" s="2"/>
      <c r="E112" s="2"/>
      <c r="F112" s="2"/>
      <c r="G112" s="2"/>
      <c r="H112" s="2"/>
      <c r="I112" s="2"/>
      <c r="J112" s="2"/>
      <c r="K112" s="2"/>
      <c r="L112" s="2"/>
      <c r="M112" s="2"/>
      <c r="N112" s="2"/>
      <c r="O112" s="2"/>
      <c r="P112" s="2"/>
    </row>
    <row r="113" spans="4:16">
      <c r="D113" s="2"/>
      <c r="E113" s="2"/>
      <c r="F113" s="2"/>
      <c r="G113" s="2"/>
      <c r="H113" s="2"/>
      <c r="I113" s="2"/>
      <c r="J113" s="2"/>
      <c r="K113" s="2"/>
      <c r="L113" s="2"/>
      <c r="M113" s="2"/>
      <c r="N113" s="2"/>
      <c r="O113" s="2"/>
      <c r="P113" s="2"/>
    </row>
    <row r="114" spans="4:16">
      <c r="D114" s="2"/>
      <c r="E114" s="2"/>
      <c r="F114" s="2"/>
      <c r="G114" s="2"/>
      <c r="H114" s="2"/>
      <c r="I114" s="2"/>
      <c r="J114" s="2"/>
      <c r="K114" s="2"/>
      <c r="L114" s="2"/>
      <c r="M114" s="2"/>
      <c r="N114" s="2"/>
      <c r="O114" s="2"/>
      <c r="P114" s="2"/>
    </row>
  </sheetData>
  <mergeCells count="2">
    <mergeCell ref="D64:M64"/>
    <mergeCell ref="D71:M71"/>
  </mergeCells>
  <hyperlinks>
    <hyperlink ref="H62" r:id="rId1" xr:uid="{2791F89D-D5AF-4428-A952-1C7084BE7962}"/>
  </hyperlinks>
  <pageMargins left="0.7" right="0.7" top="0.75" bottom="0.75" header="0.3" footer="0.3"/>
  <headerFooter>
    <oddHeader>&amp;L&amp;"Aptos"&amp;10&amp;K000000 INTERNAL&amp;1#_x000D_</oddHeader>
  </headerFooter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200-000000000000}">
  <dimension ref="B1:R120"/>
  <sheetViews>
    <sheetView zoomScale="81" zoomScaleNormal="55" workbookViewId="0">
      <selection activeCell="F24" sqref="F24"/>
    </sheetView>
  </sheetViews>
  <sheetFormatPr defaultColWidth="8.69921875" defaultRowHeight="15"/>
  <cols>
    <col min="1" max="2" width="4.8984375" style="1" customWidth="1"/>
    <col min="3" max="3" width="6" style="1" customWidth="1"/>
    <col min="4" max="4" width="43" style="1" customWidth="1"/>
    <col min="5" max="5" width="19.59765625" style="1" customWidth="1"/>
    <col min="6" max="6" width="27.3984375" style="1" customWidth="1"/>
    <col min="7" max="7" width="18.5" style="1" bestFit="1" customWidth="1"/>
    <col min="8" max="8" width="29.69921875" style="1" customWidth="1"/>
    <col min="9" max="9" width="18" style="1" customWidth="1"/>
    <col min="10" max="10" width="41.69921875" style="1" customWidth="1"/>
    <col min="11" max="11" width="18" style="1" customWidth="1"/>
    <col min="12" max="12" width="43.59765625" style="1" customWidth="1"/>
    <col min="13" max="13" width="23.19921875" style="1" customWidth="1"/>
    <col min="14" max="14" width="18" style="1" customWidth="1"/>
    <col min="15" max="15" width="26.3984375" style="1" customWidth="1"/>
    <col min="16" max="16" width="31.19921875" style="1" bestFit="1" customWidth="1"/>
    <col min="17" max="16384" width="8.69921875" style="1"/>
  </cols>
  <sheetData>
    <row r="1" spans="2:18" s="57" customFormat="1" ht="10.199999999999999" customHeight="1">
      <c r="F1" s="58"/>
      <c r="G1" s="58"/>
      <c r="H1" s="58"/>
      <c r="I1" s="58"/>
      <c r="J1" s="58"/>
      <c r="L1" s="58"/>
      <c r="M1" s="58"/>
      <c r="N1" s="58"/>
      <c r="O1" s="58"/>
      <c r="P1" s="58"/>
      <c r="Q1" s="58"/>
    </row>
    <row r="2" spans="2:18" s="57" customFormat="1" ht="34.200000000000003" customHeight="1">
      <c r="B2" s="60" t="s">
        <v>99</v>
      </c>
      <c r="D2" s="60"/>
      <c r="E2" s="59"/>
      <c r="G2" s="60"/>
      <c r="H2" s="61"/>
      <c r="I2" s="61"/>
      <c r="J2" s="61"/>
      <c r="K2" s="62"/>
      <c r="L2" s="61"/>
      <c r="M2" s="61"/>
      <c r="N2" s="61"/>
      <c r="O2" s="61"/>
      <c r="P2" s="61"/>
      <c r="Q2" s="61"/>
    </row>
    <row r="3" spans="2:18" s="57" customFormat="1" ht="15.6" customHeight="1">
      <c r="E3" s="59"/>
      <c r="F3" s="60"/>
      <c r="G3" s="60"/>
      <c r="H3" s="61"/>
      <c r="I3" s="61"/>
      <c r="J3" s="61"/>
      <c r="K3" s="62"/>
      <c r="L3" s="61"/>
      <c r="M3" s="61"/>
      <c r="N3" s="61"/>
      <c r="O3" s="61"/>
      <c r="P3" s="61"/>
      <c r="Q3" s="61"/>
    </row>
    <row r="4" spans="2:18" s="66" customFormat="1" ht="15" customHeight="1">
      <c r="E4" s="63"/>
      <c r="F4" s="64"/>
      <c r="G4" s="64"/>
      <c r="H4" s="64"/>
      <c r="I4" s="64"/>
      <c r="J4" s="64"/>
      <c r="K4" s="65"/>
      <c r="L4" s="64"/>
      <c r="M4" s="64"/>
      <c r="N4" s="64"/>
      <c r="O4" s="64"/>
      <c r="P4" s="64"/>
      <c r="Q4" s="64"/>
    </row>
    <row r="5" spans="2:18">
      <c r="F5" s="2"/>
      <c r="G5" s="2"/>
      <c r="H5" s="2"/>
      <c r="I5" s="2"/>
      <c r="J5" s="2"/>
      <c r="K5" s="2"/>
      <c r="L5" s="2"/>
      <c r="M5" s="2"/>
      <c r="N5" s="2"/>
      <c r="O5" s="2"/>
      <c r="P5" s="2"/>
      <c r="Q5" s="2"/>
      <c r="R5" s="2"/>
    </row>
    <row r="6" spans="2:18" ht="16.2" customHeight="1">
      <c r="B6" s="3" t="s">
        <v>3</v>
      </c>
      <c r="D6" s="74" t="s">
        <v>100</v>
      </c>
      <c r="E6" s="74"/>
      <c r="F6" s="74"/>
      <c r="G6" s="74"/>
      <c r="H6" s="74"/>
      <c r="I6" s="74"/>
      <c r="J6" s="74"/>
      <c r="K6" s="74"/>
      <c r="L6" s="74"/>
      <c r="M6" s="74"/>
      <c r="N6" s="74"/>
      <c r="O6" s="74"/>
      <c r="P6" s="74"/>
    </row>
    <row r="7" spans="2:18" ht="16.2" customHeight="1">
      <c r="D7" s="19"/>
      <c r="E7" s="19"/>
      <c r="F7" s="19"/>
      <c r="G7" s="19"/>
      <c r="H7" s="19"/>
      <c r="I7" s="19"/>
      <c r="J7" s="19"/>
      <c r="K7" s="19"/>
      <c r="L7" s="19"/>
      <c r="M7" s="19"/>
      <c r="N7" s="19"/>
      <c r="O7" s="19"/>
      <c r="P7" s="19"/>
    </row>
    <row r="8" spans="2:18" ht="15.6" thickBot="1">
      <c r="D8" s="22" t="s">
        <v>5</v>
      </c>
      <c r="E8" s="22" t="s">
        <v>6</v>
      </c>
      <c r="F8" s="22" t="s">
        <v>4</v>
      </c>
      <c r="G8" s="22" t="s">
        <v>101</v>
      </c>
      <c r="H8" s="22" t="s">
        <v>102</v>
      </c>
      <c r="M8" s="2"/>
      <c r="N8" s="2"/>
      <c r="O8" s="2"/>
      <c r="P8" s="2"/>
    </row>
    <row r="9" spans="2:18">
      <c r="D9" s="14" t="s">
        <v>9</v>
      </c>
      <c r="E9" s="1" t="s">
        <v>10</v>
      </c>
      <c r="F9" s="53">
        <f>'1_Inputs&amp;Hyp'!F9</f>
        <v>800</v>
      </c>
      <c r="G9" s="14">
        <f>F9-H9</f>
        <v>781.16</v>
      </c>
      <c r="H9" s="14">
        <f>F21*G21/1000</f>
        <v>18.84</v>
      </c>
      <c r="M9" s="2"/>
      <c r="N9" s="2"/>
      <c r="O9" s="2"/>
      <c r="P9" s="2"/>
    </row>
    <row r="10" spans="2:18">
      <c r="D10" s="14" t="s">
        <v>12</v>
      </c>
      <c r="E10" s="1" t="s">
        <v>10</v>
      </c>
      <c r="F10" s="53">
        <f>'1_Inputs&amp;Hyp'!F10</f>
        <v>10</v>
      </c>
      <c r="G10" s="55">
        <v>0</v>
      </c>
      <c r="H10" s="14">
        <f>F10</f>
        <v>10</v>
      </c>
      <c r="M10" s="2"/>
      <c r="N10" s="2"/>
      <c r="O10" s="2"/>
      <c r="P10" s="2"/>
    </row>
    <row r="11" spans="2:18">
      <c r="D11" s="14" t="s">
        <v>13</v>
      </c>
      <c r="E11" s="1" t="s">
        <v>10</v>
      </c>
      <c r="F11" s="53">
        <f>'1_Inputs&amp;Hyp'!F11</f>
        <v>10</v>
      </c>
      <c r="G11" s="55">
        <v>0</v>
      </c>
      <c r="H11" s="14">
        <f>F11</f>
        <v>10</v>
      </c>
      <c r="M11" s="2"/>
      <c r="N11" s="2"/>
      <c r="O11" s="2"/>
      <c r="P11" s="2"/>
    </row>
    <row r="12" spans="2:18">
      <c r="D12" s="14" t="s">
        <v>14</v>
      </c>
      <c r="E12" s="1" t="s">
        <v>10</v>
      </c>
      <c r="F12" s="53">
        <f>'1_Inputs&amp;Hyp'!F12</f>
        <v>80</v>
      </c>
      <c r="G12" s="55">
        <v>0</v>
      </c>
      <c r="H12" s="14">
        <f>F12</f>
        <v>80</v>
      </c>
      <c r="M12" s="2"/>
      <c r="N12" s="2"/>
      <c r="O12" s="2"/>
      <c r="P12" s="2"/>
    </row>
    <row r="13" spans="2:18">
      <c r="D13" s="14" t="s">
        <v>15</v>
      </c>
      <c r="E13" s="1" t="s">
        <v>10</v>
      </c>
      <c r="F13" s="53">
        <f>'1_Inputs&amp;Hyp'!F13</f>
        <v>80</v>
      </c>
      <c r="G13" s="14">
        <f>F13</f>
        <v>80</v>
      </c>
      <c r="H13" s="55">
        <v>0</v>
      </c>
      <c r="M13" s="2"/>
      <c r="N13" s="2"/>
      <c r="O13" s="2"/>
      <c r="P13" s="2"/>
    </row>
    <row r="14" spans="2:18">
      <c r="D14" s="14" t="s">
        <v>103</v>
      </c>
      <c r="E14" s="1" t="s">
        <v>10</v>
      </c>
      <c r="F14" s="53">
        <f>'1_Inputs&amp;Hyp'!F14</f>
        <v>260</v>
      </c>
      <c r="G14" s="55">
        <v>0</v>
      </c>
      <c r="H14" s="14">
        <f>F14</f>
        <v>260</v>
      </c>
      <c r="M14" s="2"/>
      <c r="N14" s="2"/>
      <c r="O14" s="2"/>
      <c r="P14" s="2"/>
    </row>
    <row r="15" spans="2:18">
      <c r="D15" s="14" t="s">
        <v>17</v>
      </c>
      <c r="E15" s="1" t="s">
        <v>10</v>
      </c>
      <c r="F15" s="53">
        <f>'1_Inputs&amp;Hyp'!F26*F43/1000</f>
        <v>602.72</v>
      </c>
      <c r="G15" s="55">
        <v>0</v>
      </c>
      <c r="H15" s="14">
        <f>F15</f>
        <v>602.72</v>
      </c>
      <c r="M15" s="2"/>
      <c r="N15" s="2"/>
      <c r="O15" s="2"/>
      <c r="P15" s="2"/>
    </row>
    <row r="16" spans="2:18" ht="15.6" thickBot="1">
      <c r="D16" s="18" t="s">
        <v>20</v>
      </c>
      <c r="E16" s="20" t="s">
        <v>10</v>
      </c>
      <c r="F16" s="54">
        <f>'1_Inputs&amp;Hyp'!F27*F44/1000</f>
        <v>1677.6</v>
      </c>
      <c r="G16" s="56">
        <v>0</v>
      </c>
      <c r="H16" s="18">
        <f>F16</f>
        <v>1677.6</v>
      </c>
      <c r="M16" s="2"/>
      <c r="N16" s="2"/>
      <c r="O16" s="2"/>
      <c r="P16" s="2"/>
    </row>
    <row r="17" spans="2:16" ht="15.6" thickTop="1">
      <c r="D17" s="21" t="s">
        <v>104</v>
      </c>
      <c r="E17" s="14" t="s">
        <v>10</v>
      </c>
      <c r="F17" s="14">
        <f>SUM(F9:F16)</f>
        <v>3520.3199999999997</v>
      </c>
      <c r="G17" s="14">
        <f t="shared" ref="G17:H17" si="0">SUM(G9:G16)</f>
        <v>861.16</v>
      </c>
      <c r="H17" s="14">
        <f t="shared" si="0"/>
        <v>2659.16</v>
      </c>
      <c r="I17" s="14"/>
      <c r="J17" s="14"/>
      <c r="K17" s="2"/>
      <c r="L17" s="2"/>
      <c r="M17" s="2"/>
      <c r="N17" s="2"/>
      <c r="O17" s="2"/>
      <c r="P17" s="2"/>
    </row>
    <row r="18" spans="2:16">
      <c r="D18" s="14"/>
      <c r="E18" s="14"/>
      <c r="F18" s="14"/>
      <c r="G18" s="14"/>
      <c r="H18" s="14"/>
      <c r="I18" s="14"/>
      <c r="J18" s="14"/>
      <c r="K18" s="2"/>
      <c r="L18" s="2"/>
      <c r="M18" s="2"/>
      <c r="N18" s="2"/>
      <c r="O18" s="2"/>
      <c r="P18" s="2"/>
    </row>
    <row r="19" spans="2:16">
      <c r="D19" s="14"/>
      <c r="E19" s="14"/>
      <c r="F19" s="14"/>
      <c r="G19" s="14"/>
      <c r="H19" s="14"/>
      <c r="I19" s="14"/>
      <c r="J19" s="14"/>
      <c r="K19" s="2"/>
      <c r="L19" s="2"/>
      <c r="M19" s="2"/>
      <c r="N19" s="2"/>
      <c r="O19" s="2"/>
      <c r="P19" s="2"/>
    </row>
    <row r="20" spans="2:16" ht="15.6" thickBot="1">
      <c r="D20" s="22" t="s">
        <v>5</v>
      </c>
      <c r="E20" s="22" t="s">
        <v>6</v>
      </c>
      <c r="F20" s="22" t="s">
        <v>105</v>
      </c>
      <c r="G20" s="22" t="s">
        <v>106</v>
      </c>
      <c r="H20" s="22" t="s">
        <v>107</v>
      </c>
      <c r="I20" s="14"/>
      <c r="J20" s="14"/>
      <c r="K20" s="2"/>
      <c r="L20" s="2"/>
      <c r="M20" s="2"/>
      <c r="N20" s="2"/>
      <c r="O20" s="2"/>
      <c r="P20" s="2"/>
    </row>
    <row r="21" spans="2:16">
      <c r="D21" s="14" t="s">
        <v>9</v>
      </c>
      <c r="E21" s="14" t="s">
        <v>108</v>
      </c>
      <c r="F21" s="14">
        <f>'1_Inputs&amp;Hyp'!F20</f>
        <v>628</v>
      </c>
      <c r="G21" s="14">
        <f>F45</f>
        <v>30</v>
      </c>
      <c r="H21" s="14" t="s">
        <v>109</v>
      </c>
      <c r="I21" s="14"/>
      <c r="J21" s="14"/>
      <c r="K21" s="2"/>
      <c r="L21" s="2"/>
      <c r="M21" s="2"/>
      <c r="N21" s="2"/>
      <c r="O21" s="2"/>
      <c r="P21" s="2"/>
    </row>
    <row r="22" spans="2:16">
      <c r="D22" s="14" t="s">
        <v>12</v>
      </c>
      <c r="E22" s="14" t="s">
        <v>110</v>
      </c>
      <c r="F22" s="14"/>
      <c r="G22" s="14"/>
      <c r="H22" s="14" t="s">
        <v>111</v>
      </c>
      <c r="I22" s="14"/>
      <c r="J22" s="14"/>
      <c r="K22" s="2"/>
      <c r="L22" s="2"/>
      <c r="M22" s="2"/>
      <c r="N22" s="2"/>
      <c r="O22" s="2"/>
      <c r="P22" s="2"/>
    </row>
    <row r="23" spans="2:16">
      <c r="D23" s="14" t="s">
        <v>13</v>
      </c>
      <c r="E23" s="14" t="s">
        <v>110</v>
      </c>
      <c r="F23" s="14"/>
      <c r="G23" s="14"/>
      <c r="H23" s="14" t="s">
        <v>111</v>
      </c>
      <c r="I23" s="14"/>
      <c r="J23" s="14"/>
      <c r="K23" s="2"/>
      <c r="L23" s="2"/>
      <c r="M23" s="2"/>
      <c r="N23" s="2"/>
      <c r="O23" s="2"/>
      <c r="P23" s="2"/>
    </row>
    <row r="24" spans="2:16">
      <c r="D24" s="14" t="s">
        <v>14</v>
      </c>
      <c r="E24" s="14" t="s">
        <v>110</v>
      </c>
      <c r="F24" s="14"/>
      <c r="G24" s="14"/>
      <c r="H24" s="14" t="s">
        <v>111</v>
      </c>
      <c r="I24" s="14"/>
      <c r="J24" s="14"/>
      <c r="K24" s="2"/>
      <c r="L24" s="2"/>
      <c r="M24" s="2"/>
      <c r="N24" s="2"/>
      <c r="O24" s="2"/>
      <c r="P24" s="2"/>
    </row>
    <row r="25" spans="2:16">
      <c r="D25" s="14" t="s">
        <v>15</v>
      </c>
      <c r="E25" s="14" t="s">
        <v>110</v>
      </c>
      <c r="F25" s="14"/>
      <c r="G25" s="14"/>
      <c r="H25" s="14" t="s">
        <v>112</v>
      </c>
      <c r="I25" s="14"/>
      <c r="J25" s="14"/>
      <c r="K25" s="2"/>
      <c r="L25" s="2"/>
      <c r="M25" s="2"/>
      <c r="N25" s="2"/>
      <c r="O25" s="2"/>
      <c r="P25" s="2"/>
    </row>
    <row r="26" spans="2:16">
      <c r="D26" s="14" t="s">
        <v>103</v>
      </c>
      <c r="E26" s="14" t="s">
        <v>110</v>
      </c>
      <c r="F26" s="14"/>
      <c r="G26" s="14"/>
      <c r="H26" s="14" t="s">
        <v>113</v>
      </c>
      <c r="I26" s="14"/>
      <c r="J26" s="14"/>
      <c r="K26" s="2"/>
      <c r="L26" s="2"/>
      <c r="M26" s="2"/>
      <c r="N26" s="2"/>
      <c r="O26" s="2"/>
      <c r="P26" s="2"/>
    </row>
    <row r="27" spans="2:16">
      <c r="D27" s="14" t="s">
        <v>17</v>
      </c>
      <c r="E27" s="14" t="s">
        <v>108</v>
      </c>
      <c r="F27" s="14">
        <f>'1_Inputs&amp;Hyp'!F26</f>
        <v>7534</v>
      </c>
      <c r="G27" s="14">
        <f>F43</f>
        <v>80</v>
      </c>
      <c r="H27" s="14" t="s">
        <v>114</v>
      </c>
      <c r="I27" s="14"/>
      <c r="J27" s="14"/>
      <c r="K27" s="2"/>
      <c r="L27" s="2"/>
      <c r="M27" s="2"/>
      <c r="N27" s="2"/>
      <c r="O27" s="2"/>
      <c r="P27" s="2"/>
    </row>
    <row r="28" spans="2:16" ht="15.6" thickBot="1">
      <c r="D28" s="18" t="s">
        <v>20</v>
      </c>
      <c r="E28" s="18" t="s">
        <v>108</v>
      </c>
      <c r="F28" s="18">
        <f>'1_Inputs&amp;Hyp'!F27</f>
        <v>55920</v>
      </c>
      <c r="G28" s="18">
        <f>F44</f>
        <v>30</v>
      </c>
      <c r="H28" s="18" t="s">
        <v>114</v>
      </c>
      <c r="I28" s="14"/>
      <c r="J28" s="14"/>
      <c r="K28" s="2"/>
      <c r="L28" s="2"/>
      <c r="M28" s="2"/>
      <c r="N28" s="2"/>
      <c r="O28" s="2"/>
      <c r="P28" s="2"/>
    </row>
    <row r="29" spans="2:16" ht="15.6" thickTop="1">
      <c r="D29" s="21" t="s">
        <v>104</v>
      </c>
      <c r="E29" s="14"/>
      <c r="F29" s="14"/>
      <c r="G29" s="14"/>
      <c r="H29" s="14"/>
      <c r="I29" s="14"/>
      <c r="J29" s="14"/>
      <c r="K29" s="2"/>
      <c r="L29" s="2"/>
      <c r="M29" s="2"/>
      <c r="N29" s="2"/>
      <c r="O29" s="2"/>
      <c r="P29" s="2"/>
    </row>
    <row r="30" spans="2:16">
      <c r="D30" s="14"/>
      <c r="E30" s="14"/>
      <c r="F30" s="14"/>
      <c r="G30" s="14"/>
      <c r="H30" s="14"/>
      <c r="I30" s="14"/>
      <c r="J30" s="14"/>
      <c r="K30" s="2"/>
      <c r="L30" s="2"/>
      <c r="M30" s="2"/>
      <c r="N30" s="2"/>
      <c r="O30" s="2"/>
      <c r="P30" s="2"/>
    </row>
    <row r="31" spans="2:16" ht="16.2" customHeight="1">
      <c r="B31" s="3" t="s">
        <v>27</v>
      </c>
      <c r="D31" s="74" t="s">
        <v>115</v>
      </c>
      <c r="E31" s="74"/>
      <c r="F31" s="74"/>
      <c r="G31" s="74"/>
      <c r="H31" s="74"/>
      <c r="I31" s="74"/>
      <c r="J31" s="74"/>
      <c r="K31" s="74"/>
      <c r="L31" s="74"/>
      <c r="M31" s="74"/>
      <c r="N31" s="74"/>
      <c r="O31" s="74"/>
      <c r="P31" s="74"/>
    </row>
    <row r="32" spans="2:16">
      <c r="D32" s="2"/>
      <c r="E32" s="2"/>
      <c r="F32" s="2"/>
      <c r="G32" s="2"/>
      <c r="H32" s="2"/>
      <c r="I32" s="2"/>
      <c r="J32" s="2"/>
      <c r="K32" s="2"/>
      <c r="L32" s="2"/>
      <c r="M32" s="2"/>
      <c r="N32" s="2"/>
      <c r="O32" s="2"/>
      <c r="P32" s="2"/>
    </row>
    <row r="33" spans="4:16" ht="15.6" thickBot="1">
      <c r="D33" s="22" t="s">
        <v>29</v>
      </c>
      <c r="E33" s="22" t="s">
        <v>6</v>
      </c>
      <c r="F33" s="22" t="s">
        <v>30</v>
      </c>
      <c r="G33" s="22" t="s">
        <v>31</v>
      </c>
      <c r="H33" s="22" t="s">
        <v>32</v>
      </c>
      <c r="I33" s="2"/>
      <c r="J33" s="2"/>
      <c r="K33" s="2"/>
      <c r="L33" s="2"/>
      <c r="M33" s="2"/>
      <c r="N33" s="2"/>
      <c r="O33" s="2"/>
      <c r="P33" s="2"/>
    </row>
    <row r="34" spans="4:16">
      <c r="D34" s="2" t="s">
        <v>34</v>
      </c>
      <c r="E34" s="2" t="s">
        <v>35</v>
      </c>
      <c r="F34" s="7">
        <f>'1_Inputs&amp;Hyp'!F34</f>
        <v>0</v>
      </c>
      <c r="G34" s="7">
        <f>'1_Inputs&amp;Hyp'!G34</f>
        <v>5.0000000000000001E-3</v>
      </c>
      <c r="H34" s="7">
        <f>'1_Inputs&amp;Hyp'!H34</f>
        <v>0.01</v>
      </c>
      <c r="I34" s="2"/>
      <c r="J34" s="2"/>
      <c r="K34" s="2"/>
      <c r="L34" s="2"/>
      <c r="M34" s="2"/>
      <c r="N34" s="2"/>
      <c r="O34" s="2"/>
      <c r="P34" s="2"/>
    </row>
    <row r="35" spans="4:16">
      <c r="D35" s="2" t="s">
        <v>37</v>
      </c>
      <c r="E35" s="2" t="s">
        <v>35</v>
      </c>
      <c r="F35" s="7">
        <f>'1_Inputs&amp;Hyp'!F35</f>
        <v>0</v>
      </c>
      <c r="G35" s="7">
        <f>'1_Inputs&amp;Hyp'!G35</f>
        <v>5.0000000000000001E-3</v>
      </c>
      <c r="H35" s="7">
        <f>'1_Inputs&amp;Hyp'!H35</f>
        <v>0.01</v>
      </c>
      <c r="I35" s="2"/>
      <c r="J35" s="2"/>
      <c r="K35" s="2"/>
      <c r="L35" s="2"/>
      <c r="M35" s="2"/>
      <c r="N35" s="2"/>
      <c r="O35" s="2"/>
      <c r="P35" s="2"/>
    </row>
    <row r="36" spans="4:16">
      <c r="D36" s="2" t="s">
        <v>38</v>
      </c>
      <c r="E36" s="2" t="s">
        <v>35</v>
      </c>
      <c r="F36" s="7">
        <f>'1_Inputs&amp;Hyp'!F36</f>
        <v>0</v>
      </c>
      <c r="G36" s="7">
        <f>'1_Inputs&amp;Hyp'!G36</f>
        <v>5.0000000000000001E-3</v>
      </c>
      <c r="H36" s="7">
        <f>'1_Inputs&amp;Hyp'!H36</f>
        <v>0.01</v>
      </c>
      <c r="I36" s="2"/>
      <c r="J36" s="2"/>
      <c r="K36" s="2"/>
      <c r="L36" s="2"/>
      <c r="M36" s="2"/>
      <c r="N36" s="2"/>
      <c r="O36" s="2"/>
      <c r="P36" s="2"/>
    </row>
    <row r="37" spans="4:16">
      <c r="D37" s="2" t="s">
        <v>39</v>
      </c>
      <c r="E37" s="2" t="s">
        <v>35</v>
      </c>
      <c r="F37" s="7">
        <f>'1_Inputs&amp;Hyp'!F37</f>
        <v>0.02</v>
      </c>
      <c r="G37" s="7">
        <f>'1_Inputs&amp;Hyp'!G37</f>
        <v>0.04</v>
      </c>
      <c r="H37" s="7">
        <f>'1_Inputs&amp;Hyp'!H37</f>
        <v>0.06</v>
      </c>
      <c r="I37" s="2"/>
      <c r="J37" s="2"/>
      <c r="K37" s="2"/>
      <c r="L37" s="2"/>
      <c r="M37" s="2"/>
      <c r="N37" s="2"/>
      <c r="O37" s="2"/>
      <c r="P37" s="2"/>
    </row>
    <row r="38" spans="4:16">
      <c r="D38" s="2" t="s">
        <v>41</v>
      </c>
      <c r="E38" s="2" t="s">
        <v>35</v>
      </c>
      <c r="F38" s="7">
        <f>'1_Inputs&amp;Hyp'!F38</f>
        <v>0.03</v>
      </c>
      <c r="G38" s="7">
        <f>'1_Inputs&amp;Hyp'!G38</f>
        <v>0.05</v>
      </c>
      <c r="H38" s="7">
        <f>'1_Inputs&amp;Hyp'!H38</f>
        <v>7.0000000000000007E-2</v>
      </c>
      <c r="I38" s="2"/>
      <c r="J38" s="2"/>
      <c r="K38" s="2"/>
      <c r="L38" s="2"/>
      <c r="M38" s="2"/>
      <c r="N38" s="2"/>
      <c r="O38" s="2"/>
      <c r="P38" s="2"/>
    </row>
    <row r="39" spans="4:16">
      <c r="D39" s="2" t="s">
        <v>43</v>
      </c>
      <c r="E39" s="2" t="s">
        <v>35</v>
      </c>
      <c r="F39" s="7">
        <f>'1_Inputs&amp;Hyp'!F39</f>
        <v>0.02</v>
      </c>
      <c r="G39" s="7">
        <f>'1_Inputs&amp;Hyp'!G39</f>
        <v>0.04</v>
      </c>
      <c r="H39" s="7">
        <f>'1_Inputs&amp;Hyp'!H39</f>
        <v>0.06</v>
      </c>
      <c r="I39" s="2"/>
      <c r="J39" s="2"/>
      <c r="K39" s="2"/>
      <c r="L39" s="2"/>
      <c r="M39" s="2"/>
      <c r="N39" s="2"/>
      <c r="O39" s="2"/>
      <c r="P39" s="2"/>
    </row>
    <row r="40" spans="4:16">
      <c r="D40" s="2" t="s">
        <v>44</v>
      </c>
      <c r="E40" s="2" t="s">
        <v>45</v>
      </c>
      <c r="F40" s="7">
        <f>'1_Inputs&amp;Hyp'!F40</f>
        <v>0.05</v>
      </c>
      <c r="G40" s="7">
        <f>'1_Inputs&amp;Hyp'!G40</f>
        <v>0.15</v>
      </c>
      <c r="H40" s="7">
        <f>'1_Inputs&amp;Hyp'!H40</f>
        <v>0.3</v>
      </c>
      <c r="I40" s="2"/>
      <c r="J40" s="2"/>
      <c r="K40" s="2"/>
      <c r="L40" s="2"/>
      <c r="M40" s="2"/>
      <c r="N40" s="2"/>
      <c r="O40" s="2"/>
      <c r="P40" s="2"/>
    </row>
    <row r="41" spans="4:16">
      <c r="D41" s="2" t="s">
        <v>46</v>
      </c>
      <c r="E41" s="2" t="s">
        <v>45</v>
      </c>
      <c r="F41" s="7">
        <f>'1_Inputs&amp;Hyp'!F41</f>
        <v>0.1</v>
      </c>
      <c r="G41" s="7">
        <f>'1_Inputs&amp;Hyp'!G41</f>
        <v>0.25</v>
      </c>
      <c r="H41" s="7">
        <f>'1_Inputs&amp;Hyp'!H41</f>
        <v>0.45</v>
      </c>
      <c r="I41" s="2"/>
      <c r="J41" s="2"/>
      <c r="K41" s="2"/>
      <c r="L41" s="2"/>
      <c r="M41" s="2"/>
      <c r="N41" s="2"/>
      <c r="O41" s="2"/>
      <c r="P41" s="2"/>
    </row>
    <row r="42" spans="4:16">
      <c r="D42" s="2" t="s">
        <v>47</v>
      </c>
      <c r="E42" s="2" t="s">
        <v>45</v>
      </c>
      <c r="F42" s="7">
        <f>'1_Inputs&amp;Hyp'!F42</f>
        <v>0.05</v>
      </c>
      <c r="G42" s="7">
        <f>'1_Inputs&amp;Hyp'!G42</f>
        <v>0.15</v>
      </c>
      <c r="H42" s="7">
        <f>'1_Inputs&amp;Hyp'!H42</f>
        <v>0.3</v>
      </c>
      <c r="I42" s="2"/>
      <c r="J42" s="2"/>
      <c r="K42" s="2"/>
      <c r="L42" s="2"/>
      <c r="M42" s="2"/>
      <c r="N42" s="2"/>
      <c r="O42" s="2"/>
      <c r="P42" s="2"/>
    </row>
    <row r="43" spans="4:16">
      <c r="D43" s="2" t="s">
        <v>48</v>
      </c>
      <c r="E43" s="2" t="s">
        <v>116</v>
      </c>
      <c r="F43" s="17">
        <f>'1_Inputs&amp;Hyp'!F43</f>
        <v>80</v>
      </c>
      <c r="G43" s="17">
        <f>'1_Inputs&amp;Hyp'!G43</f>
        <v>80</v>
      </c>
      <c r="H43" s="17">
        <f>'1_Inputs&amp;Hyp'!H43</f>
        <v>80</v>
      </c>
      <c r="I43" s="2"/>
      <c r="J43" s="2"/>
      <c r="K43" s="2"/>
      <c r="L43" s="2"/>
      <c r="M43" s="2"/>
      <c r="N43" s="2"/>
      <c r="O43" s="2"/>
      <c r="P43" s="2"/>
    </row>
    <row r="44" spans="4:16">
      <c r="D44" s="2" t="s">
        <v>50</v>
      </c>
      <c r="E44" s="2" t="s">
        <v>116</v>
      </c>
      <c r="F44" s="17">
        <f>'1_Inputs&amp;Hyp'!F44</f>
        <v>30</v>
      </c>
      <c r="G44" s="17">
        <f>'1_Inputs&amp;Hyp'!G44</f>
        <v>30</v>
      </c>
      <c r="H44" s="17">
        <f>'1_Inputs&amp;Hyp'!H44</f>
        <v>30</v>
      </c>
      <c r="I44" s="2"/>
      <c r="J44" s="2"/>
      <c r="K44" s="2"/>
      <c r="L44" s="2"/>
      <c r="M44" s="2"/>
      <c r="N44" s="2"/>
      <c r="O44" s="2"/>
      <c r="P44" s="2"/>
    </row>
    <row r="45" spans="4:16">
      <c r="D45" s="2" t="s">
        <v>51</v>
      </c>
      <c r="E45" s="2" t="s">
        <v>116</v>
      </c>
      <c r="F45" s="17">
        <f>'1_Inputs&amp;Hyp'!F45</f>
        <v>30</v>
      </c>
      <c r="G45" s="17">
        <f>'1_Inputs&amp;Hyp'!G45</f>
        <v>30</v>
      </c>
      <c r="H45" s="17">
        <f>'1_Inputs&amp;Hyp'!H45</f>
        <v>30</v>
      </c>
      <c r="I45" s="2"/>
      <c r="J45" s="2"/>
      <c r="K45" s="2"/>
      <c r="L45" s="2"/>
      <c r="M45" s="2"/>
      <c r="N45" s="2"/>
      <c r="O45" s="2"/>
      <c r="P45" s="2"/>
    </row>
    <row r="46" spans="4:16">
      <c r="D46" s="2" t="s">
        <v>53</v>
      </c>
      <c r="E46" s="2" t="s">
        <v>45</v>
      </c>
      <c r="F46" s="7">
        <f>'1_Inputs&amp;Hyp'!F46</f>
        <v>1</v>
      </c>
      <c r="G46" s="7">
        <f>'1_Inputs&amp;Hyp'!G46</f>
        <v>1</v>
      </c>
      <c r="H46" s="7">
        <f>'1_Inputs&amp;Hyp'!H46</f>
        <v>1</v>
      </c>
      <c r="I46" s="2"/>
      <c r="J46" s="2"/>
      <c r="K46" s="2"/>
      <c r="L46" s="2"/>
      <c r="M46" s="2"/>
      <c r="N46" s="2"/>
      <c r="O46" s="2"/>
      <c r="P46" s="2"/>
    </row>
    <row r="47" spans="4:16">
      <c r="D47" s="2" t="s">
        <v>55</v>
      </c>
      <c r="E47" s="2" t="s">
        <v>45</v>
      </c>
      <c r="F47" s="7">
        <f>'1_Inputs&amp;Hyp'!F47</f>
        <v>0.2</v>
      </c>
      <c r="G47" s="7">
        <f>'1_Inputs&amp;Hyp'!G47</f>
        <v>0.35</v>
      </c>
      <c r="H47" s="7">
        <f>'1_Inputs&amp;Hyp'!H47</f>
        <v>0.5</v>
      </c>
      <c r="I47" s="2"/>
      <c r="J47" s="2"/>
      <c r="K47" s="2"/>
      <c r="L47" s="2"/>
      <c r="M47" s="2"/>
      <c r="N47" s="2"/>
      <c r="O47" s="2"/>
      <c r="P47" s="2"/>
    </row>
    <row r="48" spans="4:16">
      <c r="D48" s="2" t="s">
        <v>56</v>
      </c>
      <c r="E48" s="2" t="s">
        <v>45</v>
      </c>
      <c r="F48" s="7">
        <f>'1_Inputs&amp;Hyp'!F48</f>
        <v>0.1</v>
      </c>
      <c r="G48" s="7">
        <f>'1_Inputs&amp;Hyp'!G48</f>
        <v>0.2</v>
      </c>
      <c r="H48" s="7">
        <f>'1_Inputs&amp;Hyp'!H48</f>
        <v>0.35</v>
      </c>
      <c r="I48" s="2"/>
      <c r="J48" s="2"/>
      <c r="K48" s="2"/>
      <c r="L48" s="2"/>
      <c r="M48" s="2"/>
      <c r="N48" s="2"/>
      <c r="O48" s="2"/>
      <c r="P48" s="2"/>
    </row>
    <row r="49" spans="2:18">
      <c r="D49" s="2" t="s">
        <v>57</v>
      </c>
      <c r="E49" s="2" t="s">
        <v>45</v>
      </c>
      <c r="F49" s="7">
        <f>'1_Inputs&amp;Hyp'!F49</f>
        <v>0.25</v>
      </c>
      <c r="G49" s="7">
        <f>'1_Inputs&amp;Hyp'!G49</f>
        <v>0.6</v>
      </c>
      <c r="H49" s="7">
        <f>'1_Inputs&amp;Hyp'!H49</f>
        <v>1</v>
      </c>
      <c r="I49" s="2"/>
      <c r="J49" s="2"/>
      <c r="K49" s="2"/>
      <c r="L49" s="2"/>
      <c r="M49" s="2"/>
      <c r="N49" s="2"/>
      <c r="O49" s="2"/>
      <c r="P49" s="2"/>
    </row>
    <row r="50" spans="2:18">
      <c r="D50" s="2" t="s">
        <v>59</v>
      </c>
      <c r="E50" s="2" t="s">
        <v>45</v>
      </c>
      <c r="F50" s="7">
        <f>'1_Inputs&amp;Hyp'!F50</f>
        <v>0.15</v>
      </c>
      <c r="G50" s="7">
        <f>'1_Inputs&amp;Hyp'!G50</f>
        <v>0.4</v>
      </c>
      <c r="H50" s="7">
        <f>'1_Inputs&amp;Hyp'!H50</f>
        <v>0.75</v>
      </c>
      <c r="I50" s="2"/>
      <c r="J50" s="2"/>
      <c r="K50" s="2"/>
      <c r="L50" s="2"/>
      <c r="M50" s="2"/>
      <c r="N50" s="2"/>
      <c r="O50" s="2"/>
      <c r="P50" s="2"/>
    </row>
    <row r="51" spans="2:18">
      <c r="D51" s="2" t="s">
        <v>60</v>
      </c>
      <c r="E51" s="2" t="s">
        <v>45</v>
      </c>
      <c r="F51" s="7">
        <f>'1_Inputs&amp;Hyp'!F51</f>
        <v>0.1</v>
      </c>
      <c r="G51" s="7">
        <f>'1_Inputs&amp;Hyp'!G51</f>
        <v>0.3</v>
      </c>
      <c r="H51" s="7">
        <f>'1_Inputs&amp;Hyp'!H51</f>
        <v>0.6</v>
      </c>
      <c r="I51" s="2"/>
      <c r="J51" s="2"/>
      <c r="K51" s="2"/>
      <c r="L51" s="2"/>
      <c r="M51" s="2"/>
      <c r="N51" s="2"/>
      <c r="O51" s="2"/>
      <c r="P51" s="2"/>
    </row>
    <row r="52" spans="2:18">
      <c r="D52" s="2"/>
      <c r="E52" s="2"/>
      <c r="F52" s="2"/>
      <c r="G52" s="2"/>
      <c r="H52" s="2"/>
      <c r="I52" s="2"/>
      <c r="J52" s="2"/>
      <c r="K52" s="2"/>
      <c r="L52" s="2"/>
      <c r="M52" s="2"/>
      <c r="N52" s="2"/>
      <c r="O52" s="2"/>
      <c r="P52" s="2"/>
    </row>
    <row r="53" spans="2:18">
      <c r="D53" s="2"/>
      <c r="E53" s="2"/>
      <c r="F53" s="2"/>
      <c r="G53" s="2"/>
      <c r="H53" s="2"/>
      <c r="I53" s="2"/>
      <c r="J53" s="2"/>
      <c r="K53" s="2"/>
      <c r="L53" s="2"/>
      <c r="M53" s="2"/>
      <c r="N53" s="2"/>
      <c r="O53" s="2"/>
      <c r="P53" s="2"/>
    </row>
    <row r="54" spans="2:18" ht="16.2" customHeight="1">
      <c r="B54" s="3" t="s">
        <v>61</v>
      </c>
      <c r="D54" s="74" t="s">
        <v>117</v>
      </c>
      <c r="E54" s="74"/>
      <c r="F54" s="74"/>
      <c r="G54" s="74"/>
      <c r="H54" s="74"/>
      <c r="I54" s="74"/>
      <c r="J54" s="74"/>
      <c r="K54" s="74"/>
      <c r="L54" s="74"/>
      <c r="M54" s="74"/>
      <c r="N54" s="74"/>
      <c r="O54" s="74"/>
      <c r="P54" s="74"/>
    </row>
    <row r="55" spans="2:18" ht="16.2" customHeight="1">
      <c r="D55" s="19"/>
      <c r="E55" s="19"/>
      <c r="F55" s="19"/>
      <c r="G55" s="19"/>
      <c r="H55" s="19"/>
      <c r="I55" s="19"/>
      <c r="J55" s="19"/>
      <c r="K55" s="19"/>
      <c r="L55" s="19"/>
      <c r="M55" s="19"/>
      <c r="N55" s="19"/>
      <c r="O55" s="19"/>
      <c r="P55" s="19"/>
    </row>
    <row r="56" spans="2:18" ht="16.2" customHeight="1">
      <c r="C56" s="3" t="s">
        <v>118</v>
      </c>
      <c r="D56" s="70" t="s">
        <v>119</v>
      </c>
      <c r="E56" s="70"/>
      <c r="F56" s="70"/>
      <c r="G56" s="70"/>
      <c r="H56" s="70"/>
      <c r="I56" s="70"/>
      <c r="J56" s="70"/>
      <c r="K56" s="70"/>
      <c r="L56" s="70"/>
      <c r="M56" s="70"/>
      <c r="N56" s="70"/>
      <c r="O56" s="70"/>
      <c r="P56" s="70"/>
    </row>
    <row r="57" spans="2:18" ht="16.2" customHeight="1">
      <c r="D57" s="19"/>
      <c r="E57" s="19"/>
      <c r="F57" s="19"/>
      <c r="G57" s="19"/>
      <c r="H57" s="19"/>
      <c r="I57" s="19"/>
      <c r="J57" s="19"/>
      <c r="K57" s="19"/>
      <c r="L57" s="19"/>
      <c r="M57" s="19"/>
      <c r="N57" s="19"/>
      <c r="O57" s="19"/>
      <c r="P57" s="19"/>
    </row>
    <row r="58" spans="2:18" ht="15.6" thickBot="1">
      <c r="D58" s="22" t="s">
        <v>5</v>
      </c>
      <c r="E58" s="22" t="s">
        <v>4</v>
      </c>
      <c r="F58" s="22" t="s">
        <v>120</v>
      </c>
      <c r="G58" s="22" t="s">
        <v>121</v>
      </c>
      <c r="H58" s="22" t="s">
        <v>122</v>
      </c>
      <c r="I58" s="22" t="s">
        <v>123</v>
      </c>
      <c r="J58" s="22" t="s">
        <v>124</v>
      </c>
      <c r="K58" s="22" t="s">
        <v>125</v>
      </c>
      <c r="L58" s="22" t="s">
        <v>126</v>
      </c>
      <c r="M58" s="22" t="s">
        <v>127</v>
      </c>
      <c r="N58" s="22" t="s">
        <v>128</v>
      </c>
      <c r="O58" s="22" t="s">
        <v>129</v>
      </c>
      <c r="P58" s="22" t="s">
        <v>130</v>
      </c>
    </row>
    <row r="59" spans="2:18">
      <c r="D59" s="2" t="s">
        <v>9</v>
      </c>
      <c r="E59" s="8">
        <f>F$9</f>
        <v>800</v>
      </c>
      <c r="F59" s="15">
        <f>(1+_xlfn.XLOOKUP($D$56,$F$33:$H$33,$F$34:$H$34))^9</f>
        <v>1</v>
      </c>
      <c r="G59" s="15">
        <f>(1+_xlfn.XLOOKUP($D$56,$F$33:$H$33,$F$37:$H$37))^9</f>
        <v>1.1950925686223108</v>
      </c>
      <c r="H59" s="23">
        <f>('1_Inputs&amp;Hyp'!F59/'1_Inputs&amp;Hyp'!F57)*'1_Inputs&amp;Hyp'!F62</f>
        <v>9.5333945312499999</v>
      </c>
      <c r="I59" s="8">
        <f>H$9*F59*G59+G$9*H59</f>
        <v>7469.6220160240937</v>
      </c>
      <c r="J59" s="15">
        <f>_xlfn.XLOOKUP($D$56,$F$33:$H$33,$F$40:$H$40)</f>
        <v>0.05</v>
      </c>
      <c r="K59" s="8">
        <f t="shared" ref="K59:K66" si="1">I59*J59</f>
        <v>373.48110080120472</v>
      </c>
      <c r="L59" s="8">
        <f>I59+K59</f>
        <v>7843.1031168252985</v>
      </c>
      <c r="M59" s="15">
        <f t="shared" ref="M59:M64" si="2">_xlfn.XLOOKUP($D$56,$F$33:$H$33,$F$46:$H$46)</f>
        <v>1</v>
      </c>
      <c r="N59" s="15">
        <f>_xlfn.XLOOKUP($D$56,$F$33:$H$33,$F$49:$H$49)</f>
        <v>0.25</v>
      </c>
      <c r="O59" s="8">
        <f>I59*M59+K59*N59</f>
        <v>7562.9922912243946</v>
      </c>
      <c r="P59" s="4">
        <f>O59/1000</f>
        <v>7.5629922912243943</v>
      </c>
      <c r="R59" s="71">
        <f>O59</f>
        <v>7562.9922912243946</v>
      </c>
    </row>
    <row r="60" spans="2:18">
      <c r="D60" s="2" t="s">
        <v>12</v>
      </c>
      <c r="E60" s="8">
        <f>F$10</f>
        <v>10</v>
      </c>
      <c r="F60" s="15">
        <f>(1+_xlfn.XLOOKUP($D$56,$F$33:$H$33,$F$34:$H$34))^9</f>
        <v>1</v>
      </c>
      <c r="G60" s="15">
        <f>(1+_xlfn.XLOOKUP($D$56,$F$33:$H$33,$F$37:$H$37))^9</f>
        <v>1.1950925686223108</v>
      </c>
      <c r="H60" s="31">
        <v>1</v>
      </c>
      <c r="I60" s="8">
        <f>E60*F60*G60</f>
        <v>11.950925686223108</v>
      </c>
      <c r="J60" s="15">
        <f>_xlfn.XLOOKUP($D$56,$F$33:$H$33,$F$40:$H$40)</f>
        <v>0.05</v>
      </c>
      <c r="K60" s="8">
        <f t="shared" si="1"/>
        <v>0.59754628431115542</v>
      </c>
      <c r="L60" s="8">
        <f t="shared" ref="L60:L66" si="3">I60+K60</f>
        <v>12.548471970534264</v>
      </c>
      <c r="M60" s="15">
        <f t="shared" si="2"/>
        <v>1</v>
      </c>
      <c r="N60" s="15">
        <f>_xlfn.XLOOKUP($D$56,$F$33:$H$33,$F$49:$H$49)</f>
        <v>0.25</v>
      </c>
      <c r="O60" s="8">
        <f t="shared" ref="O60:O66" si="4">I60*M60+K60*N60</f>
        <v>12.100312257300898</v>
      </c>
      <c r="P60" s="4">
        <f t="shared" ref="P60:P66" si="5">O60/1000</f>
        <v>1.2100312257300898E-2</v>
      </c>
      <c r="R60" s="72">
        <f>O60+O61+O62</f>
        <v>121.00312257300898</v>
      </c>
    </row>
    <row r="61" spans="2:18">
      <c r="D61" s="2" t="s">
        <v>13</v>
      </c>
      <c r="E61" s="8">
        <f>F$11</f>
        <v>10</v>
      </c>
      <c r="F61" s="15">
        <f>(1+_xlfn.XLOOKUP($D$56,$F$33:$H$33,$F$34:$H$34))^9</f>
        <v>1</v>
      </c>
      <c r="G61" s="15">
        <f>(1+_xlfn.XLOOKUP($D$56,$F$33:$H$33,$F$37:$H$37))^9</f>
        <v>1.1950925686223108</v>
      </c>
      <c r="H61" s="31">
        <v>1</v>
      </c>
      <c r="I61" s="8">
        <f>E61*F61*G61</f>
        <v>11.950925686223108</v>
      </c>
      <c r="J61" s="15">
        <f>_xlfn.XLOOKUP($D$56,$F$33:$H$33,$F$40:$H$40)</f>
        <v>0.05</v>
      </c>
      <c r="K61" s="8">
        <f t="shared" si="1"/>
        <v>0.59754628431115542</v>
      </c>
      <c r="L61" s="8">
        <f t="shared" si="3"/>
        <v>12.548471970534264</v>
      </c>
      <c r="M61" s="15">
        <f t="shared" si="2"/>
        <v>1</v>
      </c>
      <c r="N61" s="15">
        <f>_xlfn.XLOOKUP($D$56,$F$33:$H$33,$F$49:$H$49)</f>
        <v>0.25</v>
      </c>
      <c r="O61" s="8">
        <f t="shared" si="4"/>
        <v>12.100312257300898</v>
      </c>
      <c r="P61" s="4">
        <f t="shared" si="5"/>
        <v>1.2100312257300898E-2</v>
      </c>
      <c r="R61" s="71">
        <f>O63</f>
        <v>125.65758549425978</v>
      </c>
    </row>
    <row r="62" spans="2:18">
      <c r="D62" s="2" t="s">
        <v>14</v>
      </c>
      <c r="E62" s="8">
        <f>F$12</f>
        <v>80</v>
      </c>
      <c r="F62" s="15">
        <f>(1+_xlfn.XLOOKUP($D$56,$F$33:$H$33,$F$34:$H$34))^9</f>
        <v>1</v>
      </c>
      <c r="G62" s="15">
        <f>(1+_xlfn.XLOOKUP($D$56,$F$33:$H$33,$F$37:$H$37))^9</f>
        <v>1.1950925686223108</v>
      </c>
      <c r="H62" s="31">
        <v>1</v>
      </c>
      <c r="I62" s="8">
        <f>E62*F62*G62</f>
        <v>95.607405489784867</v>
      </c>
      <c r="J62" s="15">
        <f>_xlfn.XLOOKUP($D$56,$F$33:$H$33,$F$40:$H$40)</f>
        <v>0.05</v>
      </c>
      <c r="K62" s="8">
        <f t="shared" si="1"/>
        <v>4.7803702744892433</v>
      </c>
      <c r="L62" s="8">
        <f t="shared" si="3"/>
        <v>100.38777576427411</v>
      </c>
      <c r="M62" s="15">
        <f t="shared" si="2"/>
        <v>1</v>
      </c>
      <c r="N62" s="15">
        <f>_xlfn.XLOOKUP($D$56,$F$33:$H$33,$F$49:$H$49)</f>
        <v>0.25</v>
      </c>
      <c r="O62" s="8">
        <f t="shared" si="4"/>
        <v>96.802498058407181</v>
      </c>
      <c r="P62" s="4">
        <f t="shared" si="5"/>
        <v>9.6802498058407183E-2</v>
      </c>
      <c r="R62" s="71">
        <f t="shared" ref="R62:R64" si="6">O64</f>
        <v>312.27768818100981</v>
      </c>
    </row>
    <row r="63" spans="2:18">
      <c r="D63" s="2" t="s">
        <v>15</v>
      </c>
      <c r="E63" s="8">
        <f>F$13</f>
        <v>80</v>
      </c>
      <c r="F63" s="38">
        <f>(1+_xlfn.XLOOKUP(D56,'1_Inputs&amp;Hyp'!$F$66:$H$66,'1_Inputs&amp;Hyp'!$F$67:$H$67))^9</f>
        <v>1</v>
      </c>
      <c r="G63" s="38">
        <f>(1+_xlfn.XLOOKUP($D$56,$F$33:$H$33,$F$37:$H$37))^9</f>
        <v>1.1950925686223108</v>
      </c>
      <c r="H63" s="23">
        <f>(1+_xlfn.XLOOKUP(D56,'1_Inputs&amp;Hyp'!$F$66:$H$66,'1_Inputs&amp;Hyp'!$F$68:$H$68))^9</f>
        <v>1.5513282159785158</v>
      </c>
      <c r="I63" s="8">
        <f>H$13*F63*G63+G$13*H63</f>
        <v>124.10625727828126</v>
      </c>
      <c r="J63" s="15">
        <f>_xlfn.XLOOKUP($D$56,$F$33:$H$33,$F$40:$H$40)</f>
        <v>0.05</v>
      </c>
      <c r="K63" s="8">
        <f t="shared" si="1"/>
        <v>6.2053128639140631</v>
      </c>
      <c r="L63" s="8">
        <f t="shared" si="3"/>
        <v>130.31157014219534</v>
      </c>
      <c r="M63" s="15">
        <f t="shared" si="2"/>
        <v>1</v>
      </c>
      <c r="N63" s="15">
        <f>_xlfn.XLOOKUP($D$56,$F$33:$H$33,$F$49:$H$49)</f>
        <v>0.25</v>
      </c>
      <c r="O63" s="8">
        <f t="shared" si="4"/>
        <v>125.65758549425978</v>
      </c>
      <c r="P63" s="4">
        <f t="shared" si="5"/>
        <v>0.12565758549425979</v>
      </c>
      <c r="R63" s="71">
        <f t="shared" si="6"/>
        <v>169.07877207187587</v>
      </c>
    </row>
    <row r="64" spans="2:18">
      <c r="D64" s="2" t="s">
        <v>103</v>
      </c>
      <c r="E64" s="8">
        <f>F$14</f>
        <v>260</v>
      </c>
      <c r="F64" s="15">
        <f>(1+_xlfn.XLOOKUP($D$56,$F$33:$H$33,$F$36:$H$36))^9</f>
        <v>1</v>
      </c>
      <c r="G64" s="15">
        <f>(1+_xlfn.XLOOKUP($D$56,$F$33:$H$33,$F$39:$H$39))^9</f>
        <v>1.1950925686223108</v>
      </c>
      <c r="H64" s="31">
        <v>1</v>
      </c>
      <c r="I64" s="8">
        <f>E64*F64*G64</f>
        <v>310.72406784180083</v>
      </c>
      <c r="J64" s="15">
        <f>_xlfn.XLOOKUP($D$56,$F$33:$H$33,$F$42:$H$42)</f>
        <v>0.05</v>
      </c>
      <c r="K64" s="8">
        <f t="shared" si="1"/>
        <v>15.536203392090043</v>
      </c>
      <c r="L64" s="8">
        <f t="shared" si="3"/>
        <v>326.26027123389088</v>
      </c>
      <c r="M64" s="15">
        <f t="shared" si="2"/>
        <v>1</v>
      </c>
      <c r="N64" s="15">
        <f>_xlfn.XLOOKUP($D$56,$F$33:$H$33,$F$51:$H$51)</f>
        <v>0.1</v>
      </c>
      <c r="O64" s="8">
        <f t="shared" si="4"/>
        <v>312.27768818100981</v>
      </c>
      <c r="P64" s="4">
        <f t="shared" si="5"/>
        <v>0.31227768818100982</v>
      </c>
      <c r="R64" s="71">
        <f t="shared" si="6"/>
        <v>210.51316577768281</v>
      </c>
    </row>
    <row r="65" spans="3:18">
      <c r="D65" s="2" t="s">
        <v>17</v>
      </c>
      <c r="E65" s="8">
        <f>F$15</f>
        <v>602.72</v>
      </c>
      <c r="F65" s="15">
        <f>(1+_xlfn.XLOOKUP($D$56,$F$33:$H$33,$F$35:$H$35))^9</f>
        <v>1</v>
      </c>
      <c r="G65" s="15">
        <f>(1+_xlfn.XLOOKUP($D$56,$F$33:$H$33,$F$38:$H$38))^9</f>
        <v>1.3047731838292445</v>
      </c>
      <c r="H65" s="31">
        <v>1</v>
      </c>
      <c r="I65" s="8">
        <f>E65*F65*G65</f>
        <v>786.41289335756221</v>
      </c>
      <c r="J65" s="15">
        <f>_xlfn.XLOOKUP($D$56,$F$33:$H$33,$F$41:$H$41)</f>
        <v>0.1</v>
      </c>
      <c r="K65" s="8">
        <f t="shared" si="1"/>
        <v>78.641289335756227</v>
      </c>
      <c r="L65" s="8">
        <f t="shared" si="3"/>
        <v>865.05418269331847</v>
      </c>
      <c r="M65" s="15">
        <f>_xlfn.XLOOKUP($D$56,$F$33:$H$33,$F$47:$H$47)</f>
        <v>0.2</v>
      </c>
      <c r="N65" s="15">
        <f>_xlfn.XLOOKUP($D$56,$F$33:$H$33,$F$50:$H$50)</f>
        <v>0.15</v>
      </c>
      <c r="O65" s="8">
        <f t="shared" si="4"/>
        <v>169.07877207187587</v>
      </c>
      <c r="P65" s="4">
        <f t="shared" si="5"/>
        <v>0.16907877207187588</v>
      </c>
      <c r="R65" s="71"/>
    </row>
    <row r="66" spans="3:18">
      <c r="D66" s="2" t="s">
        <v>20</v>
      </c>
      <c r="E66" s="8">
        <f>F$16</f>
        <v>1677.6</v>
      </c>
      <c r="F66" s="15">
        <f>(1+_xlfn.XLOOKUP($D$56,$F$33:$H$33,$F$36:$H$36))^9</f>
        <v>1</v>
      </c>
      <c r="G66" s="15">
        <f>(1+_xlfn.XLOOKUP($D$56,$F$33:$H$33,$F$39:$H$39))^9</f>
        <v>1.1950925686223108</v>
      </c>
      <c r="H66" s="31">
        <v>1</v>
      </c>
      <c r="I66" s="8">
        <f>E66*F66*G66</f>
        <v>2004.8872931207886</v>
      </c>
      <c r="J66" s="15">
        <f>_xlfn.XLOOKUP($D$56,$F$33:$H$33,$F$42:$H$42)</f>
        <v>0.05</v>
      </c>
      <c r="K66" s="8">
        <f t="shared" si="1"/>
        <v>100.24436465603944</v>
      </c>
      <c r="L66" s="8">
        <f t="shared" si="3"/>
        <v>2105.131657776828</v>
      </c>
      <c r="M66" s="15">
        <f>_xlfn.XLOOKUP($D$56,$F$33:$H$33,$F$48:$H$48)</f>
        <v>0.1</v>
      </c>
      <c r="N66" s="15">
        <f>_xlfn.XLOOKUP($D$56,$F$33:$H$33,$F$51:$H$51)</f>
        <v>0.1</v>
      </c>
      <c r="O66" s="8">
        <f t="shared" si="4"/>
        <v>210.51316577768281</v>
      </c>
      <c r="P66" s="4">
        <f t="shared" si="5"/>
        <v>0.21051316577768281</v>
      </c>
      <c r="R66" s="71"/>
    </row>
    <row r="67" spans="3:18">
      <c r="D67" s="2"/>
      <c r="E67" s="8"/>
      <c r="F67" s="8"/>
      <c r="G67" s="8"/>
      <c r="H67" s="8"/>
      <c r="I67" s="8"/>
      <c r="J67" s="8"/>
      <c r="K67" s="8"/>
      <c r="L67" s="8"/>
      <c r="M67" s="8"/>
      <c r="N67" s="8"/>
      <c r="O67" s="8"/>
      <c r="P67" s="4"/>
    </row>
    <row r="68" spans="3:18">
      <c r="D68" s="5" t="s">
        <v>104</v>
      </c>
      <c r="E68" s="16">
        <f>SUM(E59:E66)</f>
        <v>3520.3199999999997</v>
      </c>
      <c r="F68" s="16"/>
      <c r="G68" s="16"/>
      <c r="H68" s="16"/>
      <c r="I68" s="16">
        <f>SUM(I59:I66)</f>
        <v>10815.261784484757</v>
      </c>
      <c r="J68" s="16"/>
      <c r="K68" s="16">
        <f>SUM(K59:K66)</f>
        <v>580.08373389211602</v>
      </c>
      <c r="L68" s="16">
        <f>SUM(L59:L66)</f>
        <v>11395.345518376875</v>
      </c>
      <c r="M68" s="16"/>
      <c r="N68" s="16"/>
      <c r="O68" s="16">
        <f>SUM(O59:O66)</f>
        <v>8501.5226253222299</v>
      </c>
      <c r="P68" s="16">
        <f>SUM(P59:P66)</f>
        <v>8.5015226253222309</v>
      </c>
    </row>
    <row r="69" spans="3:18">
      <c r="D69" s="2"/>
      <c r="E69" s="2"/>
      <c r="F69" s="2"/>
      <c r="G69" s="2"/>
      <c r="H69" s="2"/>
      <c r="I69" s="2"/>
      <c r="J69" s="2"/>
      <c r="K69" s="2"/>
      <c r="L69" s="2"/>
      <c r="M69" s="2"/>
      <c r="N69" s="2"/>
      <c r="O69" s="2"/>
      <c r="P69" s="2"/>
    </row>
    <row r="70" spans="3:18">
      <c r="D70" s="2"/>
      <c r="E70" s="2"/>
      <c r="F70" s="2"/>
      <c r="G70" s="2"/>
      <c r="H70" s="2"/>
      <c r="I70" s="2"/>
      <c r="J70" s="2"/>
      <c r="K70" s="2"/>
      <c r="L70" s="2"/>
      <c r="M70" s="2"/>
      <c r="N70" s="2"/>
      <c r="O70" s="2"/>
      <c r="P70" s="2"/>
    </row>
    <row r="71" spans="3:18" ht="16.2" customHeight="1">
      <c r="C71" s="3" t="s">
        <v>131</v>
      </c>
      <c r="D71" s="70" t="s">
        <v>132</v>
      </c>
      <c r="E71" s="70"/>
      <c r="F71" s="70"/>
      <c r="G71" s="70"/>
      <c r="H71" s="70"/>
      <c r="I71" s="70"/>
      <c r="J71" s="70"/>
      <c r="K71" s="70"/>
      <c r="L71" s="70"/>
      <c r="M71" s="70"/>
      <c r="N71" s="70"/>
      <c r="O71" s="70"/>
      <c r="P71" s="70"/>
    </row>
    <row r="72" spans="3:18" ht="16.2" customHeight="1">
      <c r="D72" s="19"/>
      <c r="E72" s="19"/>
      <c r="F72" s="19"/>
      <c r="G72" s="19"/>
      <c r="H72" s="19"/>
      <c r="I72" s="19"/>
      <c r="J72" s="19"/>
      <c r="K72" s="19"/>
      <c r="L72" s="19"/>
      <c r="M72" s="19"/>
      <c r="N72" s="19"/>
      <c r="O72" s="19"/>
      <c r="P72" s="19"/>
    </row>
    <row r="73" spans="3:18" ht="15.6" thickBot="1">
      <c r="D73" s="22" t="s">
        <v>5</v>
      </c>
      <c r="E73" s="22" t="s">
        <v>4</v>
      </c>
      <c r="F73" s="22" t="s">
        <v>120</v>
      </c>
      <c r="G73" s="22" t="s">
        <v>121</v>
      </c>
      <c r="H73" s="22" t="s">
        <v>122</v>
      </c>
      <c r="I73" s="22" t="s">
        <v>123</v>
      </c>
      <c r="J73" s="22" t="s">
        <v>124</v>
      </c>
      <c r="K73" s="22" t="s">
        <v>125</v>
      </c>
      <c r="L73" s="22" t="s">
        <v>126</v>
      </c>
      <c r="M73" s="22" t="s">
        <v>127</v>
      </c>
      <c r="N73" s="22" t="s">
        <v>128</v>
      </c>
      <c r="O73" s="22" t="s">
        <v>129</v>
      </c>
      <c r="P73" s="22" t="s">
        <v>130</v>
      </c>
    </row>
    <row r="74" spans="3:18">
      <c r="D74" s="2" t="s">
        <v>9</v>
      </c>
      <c r="E74" s="8">
        <f>F$9</f>
        <v>800</v>
      </c>
      <c r="F74" s="15">
        <f>(1+_xlfn.XLOOKUP($D$71,$F$33:$H$33,$F$34:$H$34))^9</f>
        <v>1.045910579145064</v>
      </c>
      <c r="G74" s="15">
        <f>(1+_xlfn.XLOOKUP($D$71,$F$33:$H$33,$F$37:$H$37))^9</f>
        <v>1.4233118124214852</v>
      </c>
      <c r="H74" s="30">
        <f>('1_Inputs&amp;Hyp'!F59/'1_Inputs&amp;Hyp'!F57)*'1_Inputs&amp;Hyp'!F62</f>
        <v>9.5333945312499999</v>
      </c>
      <c r="I74" s="8">
        <f>H$9*F74*G74+G$9*H74</f>
        <v>7475.1527676887663</v>
      </c>
      <c r="J74" s="15">
        <f>_xlfn.XLOOKUP($D$71,$F$33:$H$33,$F$40:$H$40)</f>
        <v>0.15</v>
      </c>
      <c r="K74" s="8">
        <f t="shared" ref="K74:K81" si="7">I74*J74</f>
        <v>1121.2729151533149</v>
      </c>
      <c r="L74" s="8">
        <f>I74+K74</f>
        <v>8596.4256828420803</v>
      </c>
      <c r="M74" s="15">
        <f t="shared" ref="M74:M79" si="8">_xlfn.XLOOKUP($D$71,$F$33:$H$33,$F$46:$H$46)</f>
        <v>1</v>
      </c>
      <c r="N74" s="15">
        <f>_xlfn.XLOOKUP($D$71,$F$33:$H$33,$F$49:$H$49)</f>
        <v>0.6</v>
      </c>
      <c r="O74" s="8">
        <f>I74*M74+K74*N74</f>
        <v>8147.916516780755</v>
      </c>
      <c r="P74" s="4">
        <f>O74/1000</f>
        <v>8.1479165167807555</v>
      </c>
      <c r="R74" s="71">
        <f>O74</f>
        <v>8147.916516780755</v>
      </c>
    </row>
    <row r="75" spans="3:18">
      <c r="D75" s="2" t="s">
        <v>12</v>
      </c>
      <c r="E75" s="8">
        <f>F$10</f>
        <v>10</v>
      </c>
      <c r="F75" s="15">
        <f>(1+_xlfn.XLOOKUP($D$71,$F$33:$H$33,$F$34:$H$34))^9</f>
        <v>1.045910579145064</v>
      </c>
      <c r="G75" s="15">
        <f>(1+_xlfn.XLOOKUP($D$71,$F$33:$H$33,$F$37:$H$37))^9</f>
        <v>1.4233118124214852</v>
      </c>
      <c r="H75" s="31">
        <v>1</v>
      </c>
      <c r="I75" s="8">
        <f>E75*F75*G75</f>
        <v>14.886568820337661</v>
      </c>
      <c r="J75" s="15">
        <f>_xlfn.XLOOKUP($D$71,$F$33:$H$33,$F$40:$H$40)</f>
        <v>0.15</v>
      </c>
      <c r="K75" s="8">
        <f t="shared" si="7"/>
        <v>2.2329853230506491</v>
      </c>
      <c r="L75" s="8">
        <f t="shared" ref="L75:L81" si="9">I75+K75</f>
        <v>17.11955414338831</v>
      </c>
      <c r="M75" s="15">
        <f t="shared" si="8"/>
        <v>1</v>
      </c>
      <c r="N75" s="15">
        <f>_xlfn.XLOOKUP($D$71,$F$33:$H$33,$F$49:$H$49)</f>
        <v>0.6</v>
      </c>
      <c r="O75" s="8">
        <f t="shared" ref="O75:O81" si="10">I75*M75+K75*N75</f>
        <v>16.226360014168051</v>
      </c>
      <c r="P75" s="4">
        <f t="shared" ref="P75:P81" si="11">O75/1000</f>
        <v>1.6226360014168051E-2</v>
      </c>
      <c r="R75" s="72">
        <f>O75+O76+O77</f>
        <v>162.26360014168051</v>
      </c>
    </row>
    <row r="76" spans="3:18">
      <c r="D76" s="2" t="s">
        <v>13</v>
      </c>
      <c r="E76" s="8">
        <f>F$11</f>
        <v>10</v>
      </c>
      <c r="F76" s="15">
        <f>(1+_xlfn.XLOOKUP($D$71,$F$33:$H$33,$F$34:$H$34))^9</f>
        <v>1.045910579145064</v>
      </c>
      <c r="G76" s="15">
        <f>(1+_xlfn.XLOOKUP($D$71,$F$33:$H$33,$F$37:$H$37))^9</f>
        <v>1.4233118124214852</v>
      </c>
      <c r="H76" s="31">
        <v>1</v>
      </c>
      <c r="I76" s="8">
        <f>E76*F76*G76</f>
        <v>14.886568820337661</v>
      </c>
      <c r="J76" s="15">
        <f>_xlfn.XLOOKUP($D$71,$F$33:$H$33,$F$40:$H$40)</f>
        <v>0.15</v>
      </c>
      <c r="K76" s="8">
        <f t="shared" si="7"/>
        <v>2.2329853230506491</v>
      </c>
      <c r="L76" s="8">
        <f t="shared" si="9"/>
        <v>17.11955414338831</v>
      </c>
      <c r="M76" s="15">
        <f t="shared" si="8"/>
        <v>1</v>
      </c>
      <c r="N76" s="15">
        <f>_xlfn.XLOOKUP($D$71,$F$33:$H$33,$F$49:$H$49)</f>
        <v>0.6</v>
      </c>
      <c r="O76" s="8">
        <f t="shared" si="10"/>
        <v>16.226360014168051</v>
      </c>
      <c r="P76" s="4">
        <f t="shared" si="11"/>
        <v>1.6226360014168051E-2</v>
      </c>
      <c r="R76" s="71">
        <f>O78</f>
        <v>205.61303865520011</v>
      </c>
    </row>
    <row r="77" spans="3:18">
      <c r="D77" s="2" t="s">
        <v>14</v>
      </c>
      <c r="E77" s="8">
        <f>F$12</f>
        <v>80</v>
      </c>
      <c r="F77" s="15">
        <f>(1+_xlfn.XLOOKUP($D$71,$F$33:$H$33,$F$34:$H$34))^9</f>
        <v>1.045910579145064</v>
      </c>
      <c r="G77" s="15">
        <f>(1+_xlfn.XLOOKUP($D$71,$F$33:$H$33,$F$37:$H$37))^9</f>
        <v>1.4233118124214852</v>
      </c>
      <c r="H77" s="31">
        <v>1</v>
      </c>
      <c r="I77" s="8">
        <f>E77*F77*G77</f>
        <v>119.09255056270129</v>
      </c>
      <c r="J77" s="15">
        <f>_xlfn.XLOOKUP($D$71,$F$33:$H$33,$F$40:$H$40)</f>
        <v>0.15</v>
      </c>
      <c r="K77" s="8">
        <f t="shared" si="7"/>
        <v>17.863882584405193</v>
      </c>
      <c r="L77" s="8">
        <f t="shared" si="9"/>
        <v>136.95643314710648</v>
      </c>
      <c r="M77" s="15">
        <f t="shared" si="8"/>
        <v>1</v>
      </c>
      <c r="N77" s="15">
        <f>_xlfn.XLOOKUP($D$71,$F$33:$H$33,$F$49:$H$49)</f>
        <v>0.6</v>
      </c>
      <c r="O77" s="8">
        <f t="shared" si="10"/>
        <v>129.81088011334441</v>
      </c>
      <c r="P77" s="4">
        <f t="shared" si="11"/>
        <v>0.12981088011334441</v>
      </c>
      <c r="R77" s="71">
        <f t="shared" ref="R77:R79" si="12">O79</f>
        <v>404.4680748485743</v>
      </c>
    </row>
    <row r="78" spans="3:18">
      <c r="D78" s="2" t="s">
        <v>15</v>
      </c>
      <c r="E78" s="8">
        <f>F$13</f>
        <v>80</v>
      </c>
      <c r="F78" s="38">
        <f>(1+_xlfn.XLOOKUP(D71,'1_Inputs&amp;Hyp'!$F$66:$H$66,'1_Inputs&amp;Hyp'!$F$67:$H$67))^9</f>
        <v>1.045910579145064</v>
      </c>
      <c r="G78" s="38">
        <f>(1+_xlfn.XLOOKUP($D$71,$F$33:$H$33,$F$37:$H$37))^9</f>
        <v>1.4233118124214852</v>
      </c>
      <c r="H78" s="23">
        <f>(1+_xlfn.XLOOKUP(D71,'1_Inputs&amp;Hyp'!$F$66:$H$66,'1_Inputs&amp;Hyp'!$F$68:$H$68))^9</f>
        <v>2.3579476910000015</v>
      </c>
      <c r="I78" s="8">
        <f>H$13*F78*G78+G$13*H78</f>
        <v>188.63581528000012</v>
      </c>
      <c r="J78" s="15">
        <f>_xlfn.XLOOKUP($D$71,$F$33:$H$33,$F$40:$H$40)</f>
        <v>0.15</v>
      </c>
      <c r="K78" s="8">
        <f t="shared" si="7"/>
        <v>28.295372292000017</v>
      </c>
      <c r="L78" s="8">
        <f t="shared" si="9"/>
        <v>216.93118757200014</v>
      </c>
      <c r="M78" s="15">
        <f t="shared" si="8"/>
        <v>1</v>
      </c>
      <c r="N78" s="15">
        <f>_xlfn.XLOOKUP($D$71,$F$33:$H$33,$F$49:$H$49)</f>
        <v>0.6</v>
      </c>
      <c r="O78" s="8">
        <f>I78*M78+K78*N78</f>
        <v>205.61303865520011</v>
      </c>
      <c r="P78" s="4">
        <f>O78/1000</f>
        <v>0.20561303865520011</v>
      </c>
      <c r="R78" s="71">
        <f t="shared" si="12"/>
        <v>440.07466198651497</v>
      </c>
    </row>
    <row r="79" spans="3:18">
      <c r="D79" s="2" t="s">
        <v>103</v>
      </c>
      <c r="E79" s="8">
        <f>F$14</f>
        <v>260</v>
      </c>
      <c r="F79" s="15">
        <f>(1+_xlfn.XLOOKUP($D$71,$F$33:$H$33,$F$36:$H$36))^9</f>
        <v>1.045910579145064</v>
      </c>
      <c r="G79" s="15">
        <f>(1+_xlfn.XLOOKUP($D$71,$F$33:$H$33,$F$39:$H$39))^9</f>
        <v>1.4233118124214852</v>
      </c>
      <c r="H79" s="31">
        <v>1</v>
      </c>
      <c r="I79" s="8">
        <f>E79*F79*G79</f>
        <v>387.05078932877922</v>
      </c>
      <c r="J79" s="15">
        <f>_xlfn.XLOOKUP($D$71,$F$33:$H$33,$F$42:$H$42)</f>
        <v>0.15</v>
      </c>
      <c r="K79" s="8">
        <f t="shared" si="7"/>
        <v>58.05761839931688</v>
      </c>
      <c r="L79" s="8">
        <f t="shared" si="9"/>
        <v>445.1084077280961</v>
      </c>
      <c r="M79" s="15">
        <f t="shared" si="8"/>
        <v>1</v>
      </c>
      <c r="N79" s="15">
        <f>_xlfn.XLOOKUP($D$71,$F$33:$H$33,$F$51:$H$51)</f>
        <v>0.3</v>
      </c>
      <c r="O79" s="8">
        <f t="shared" si="10"/>
        <v>404.4680748485743</v>
      </c>
      <c r="P79" s="4">
        <f t="shared" si="11"/>
        <v>0.40446807484857428</v>
      </c>
      <c r="R79" s="71">
        <f t="shared" si="12"/>
        <v>611.8558423984623</v>
      </c>
    </row>
    <row r="80" spans="3:18">
      <c r="D80" s="2" t="s">
        <v>17</v>
      </c>
      <c r="E80" s="8">
        <f>F$15</f>
        <v>602.72</v>
      </c>
      <c r="F80" s="15">
        <f>(1+_xlfn.XLOOKUP($D$71,$F$33:$H$33,$F$35:$H$35))^9</f>
        <v>1.045910579145064</v>
      </c>
      <c r="G80" s="15">
        <f>(1+_xlfn.XLOOKUP($D$71,$F$33:$H$33,$F$38:$H$38))^9</f>
        <v>1.5513282159785158</v>
      </c>
      <c r="H80" s="31">
        <v>1</v>
      </c>
      <c r="I80" s="8">
        <f>E80*F80*G80</f>
        <v>977.94369330336656</v>
      </c>
      <c r="J80" s="15">
        <f>_xlfn.XLOOKUP($D$71,$F$33:$H$33,$F$41:$H$41)</f>
        <v>0.25</v>
      </c>
      <c r="K80" s="8">
        <f t="shared" si="7"/>
        <v>244.48592332584164</v>
      </c>
      <c r="L80" s="8">
        <f t="shared" si="9"/>
        <v>1222.4296166292081</v>
      </c>
      <c r="M80" s="15">
        <f>_xlfn.XLOOKUP($D$71,$F$33:$H$33,$F$47:$H$47)</f>
        <v>0.35</v>
      </c>
      <c r="N80" s="15">
        <f>_xlfn.XLOOKUP($D$71,$F$33:$H$33,$F$50:$H$50)</f>
        <v>0.4</v>
      </c>
      <c r="O80" s="8">
        <f t="shared" si="10"/>
        <v>440.07466198651497</v>
      </c>
      <c r="P80" s="4">
        <f t="shared" si="11"/>
        <v>0.44007466198651496</v>
      </c>
    </row>
    <row r="81" spans="3:18">
      <c r="D81" s="2" t="s">
        <v>20</v>
      </c>
      <c r="E81" s="8">
        <f>F$16</f>
        <v>1677.6</v>
      </c>
      <c r="F81" s="15">
        <f>(1+_xlfn.XLOOKUP($D$71,$F$33:$H$33,$F$36:$H$36))^9</f>
        <v>1.045910579145064</v>
      </c>
      <c r="G81" s="15">
        <f>(1+_xlfn.XLOOKUP($D$71,$F$33:$H$33,$F$39:$H$39))^9</f>
        <v>1.4233118124214852</v>
      </c>
      <c r="H81" s="31">
        <v>1</v>
      </c>
      <c r="I81" s="8">
        <f>E81*F81*G81</f>
        <v>2497.3707852998464</v>
      </c>
      <c r="J81" s="15">
        <f>_xlfn.XLOOKUP($D$71,$F$33:$H$33,$F$42:$H$42)</f>
        <v>0.15</v>
      </c>
      <c r="K81" s="8">
        <f t="shared" si="7"/>
        <v>374.60561779497692</v>
      </c>
      <c r="L81" s="8">
        <f t="shared" si="9"/>
        <v>2871.9764030948231</v>
      </c>
      <c r="M81" s="15">
        <f>_xlfn.XLOOKUP($D$71,$F$33:$H$33,$F$48:$H$48)</f>
        <v>0.2</v>
      </c>
      <c r="N81" s="15">
        <f>_xlfn.XLOOKUP($D$71,$F$33:$H$33,$F$51:$H$51)</f>
        <v>0.3</v>
      </c>
      <c r="O81" s="8">
        <f t="shared" si="10"/>
        <v>611.8558423984623</v>
      </c>
      <c r="P81" s="4">
        <f t="shared" si="11"/>
        <v>0.61185584239846225</v>
      </c>
    </row>
    <row r="82" spans="3:18">
      <c r="D82" s="2"/>
      <c r="E82" s="8"/>
      <c r="F82" s="8"/>
      <c r="G82" s="8"/>
      <c r="H82" s="8"/>
      <c r="I82" s="8"/>
      <c r="J82" s="8"/>
      <c r="K82" s="8"/>
      <c r="L82" s="8"/>
      <c r="M82" s="8"/>
      <c r="N82" s="8"/>
      <c r="O82" s="8"/>
      <c r="P82" s="4"/>
    </row>
    <row r="83" spans="3:18">
      <c r="D83" s="5" t="s">
        <v>104</v>
      </c>
      <c r="E83" s="16">
        <f>SUM(E74:E81)</f>
        <v>3520.3199999999997</v>
      </c>
      <c r="F83" s="16"/>
      <c r="G83" s="16"/>
      <c r="H83" s="16"/>
      <c r="I83" s="16">
        <f>SUM(I74:I81)</f>
        <v>11675.019539104136</v>
      </c>
      <c r="J83" s="16"/>
      <c r="K83" s="16">
        <f>SUM(K74:K81)</f>
        <v>1849.0473001959567</v>
      </c>
      <c r="L83" s="16">
        <f>SUM(L74:L81)</f>
        <v>13524.066839300089</v>
      </c>
      <c r="M83" s="16"/>
      <c r="N83" s="16"/>
      <c r="O83" s="16">
        <f>SUM(O74:O81)</f>
        <v>9972.1917348111856</v>
      </c>
      <c r="P83" s="16">
        <f>SUM(P74:P81)</f>
        <v>9.9721917348111866</v>
      </c>
    </row>
    <row r="84" spans="3:18">
      <c r="D84" s="36"/>
      <c r="E84" s="37"/>
      <c r="F84" s="37"/>
      <c r="G84" s="37"/>
      <c r="H84" s="37"/>
      <c r="I84" s="37"/>
      <c r="J84" s="37"/>
      <c r="K84" s="37"/>
      <c r="L84" s="37"/>
      <c r="M84" s="37"/>
      <c r="N84" s="37"/>
      <c r="O84" s="37"/>
      <c r="P84" s="37"/>
    </row>
    <row r="85" spans="3:18">
      <c r="D85" s="2"/>
      <c r="E85" s="2"/>
      <c r="F85" s="2"/>
      <c r="G85" s="2"/>
      <c r="H85" s="2"/>
      <c r="I85" s="2"/>
      <c r="J85" s="2"/>
      <c r="K85" s="2"/>
      <c r="L85" s="2"/>
      <c r="M85" s="2"/>
      <c r="N85" s="2"/>
      <c r="O85" s="2"/>
      <c r="P85" s="2"/>
    </row>
    <row r="86" spans="3:18" ht="16.2" customHeight="1">
      <c r="C86" s="3" t="s">
        <v>133</v>
      </c>
      <c r="D86" s="70" t="s">
        <v>32</v>
      </c>
      <c r="E86" s="70"/>
      <c r="F86" s="70"/>
      <c r="G86" s="70"/>
      <c r="H86" s="70"/>
      <c r="I86" s="70"/>
      <c r="J86" s="70"/>
      <c r="K86" s="70"/>
      <c r="L86" s="70"/>
      <c r="M86" s="70"/>
      <c r="N86" s="70"/>
      <c r="O86" s="70"/>
      <c r="P86" s="70"/>
    </row>
    <row r="87" spans="3:18" ht="16.2" customHeight="1">
      <c r="D87" s="19"/>
      <c r="E87" s="19"/>
      <c r="F87" s="19"/>
      <c r="G87" s="19"/>
      <c r="H87" s="19"/>
      <c r="I87" s="19"/>
      <c r="J87" s="19"/>
      <c r="K87" s="19"/>
      <c r="L87" s="19"/>
      <c r="M87" s="19"/>
      <c r="N87" s="19"/>
      <c r="O87" s="19"/>
      <c r="P87" s="19"/>
    </row>
    <row r="88" spans="3:18" ht="15.6" thickBot="1">
      <c r="D88" s="22" t="s">
        <v>5</v>
      </c>
      <c r="E88" s="22" t="s">
        <v>4</v>
      </c>
      <c r="F88" s="22" t="s">
        <v>120</v>
      </c>
      <c r="G88" s="22" t="s">
        <v>121</v>
      </c>
      <c r="H88" s="22" t="s">
        <v>122</v>
      </c>
      <c r="I88" s="22" t="s">
        <v>123</v>
      </c>
      <c r="J88" s="22" t="s">
        <v>124</v>
      </c>
      <c r="K88" s="22" t="s">
        <v>125</v>
      </c>
      <c r="L88" s="22" t="s">
        <v>126</v>
      </c>
      <c r="M88" s="22" t="s">
        <v>127</v>
      </c>
      <c r="N88" s="22" t="s">
        <v>128</v>
      </c>
      <c r="O88" s="22" t="s">
        <v>129</v>
      </c>
      <c r="P88" s="22" t="s">
        <v>130</v>
      </c>
    </row>
    <row r="89" spans="3:18">
      <c r="D89" s="2" t="s">
        <v>9</v>
      </c>
      <c r="E89" s="8">
        <f>F$9</f>
        <v>800</v>
      </c>
      <c r="F89" s="15">
        <f>(1+_xlfn.XLOOKUP($D$86,$F$33:$H$33,$F$34:$H$34))^9</f>
        <v>1.0936852726843611</v>
      </c>
      <c r="G89" s="15">
        <f>(1+_xlfn.XLOOKUP($D$86,$F$33:$H$33,$F$37:$H$37))^9</f>
        <v>1.6894789590026928</v>
      </c>
      <c r="H89" s="30">
        <f>('1_Inputs&amp;Hyp'!F59/'1_Inputs&amp;Hyp'!F57)*'1_Inputs&amp;Hyp'!F62</f>
        <v>9.5333945312499999</v>
      </c>
      <c r="I89" s="8">
        <f>H$9*F89*G89+G$9*H89</f>
        <v>7481.91823757375</v>
      </c>
      <c r="J89" s="15">
        <f>_xlfn.XLOOKUP($D$86,$F$33:$H$33,$F$40:$H$40)</f>
        <v>0.3</v>
      </c>
      <c r="K89" s="8">
        <f t="shared" ref="K89:K96" si="13">I89*J89</f>
        <v>2244.575471272125</v>
      </c>
      <c r="L89" s="8">
        <f>I89+K89</f>
        <v>9726.4937088458755</v>
      </c>
      <c r="M89" s="15">
        <f t="shared" ref="M89:M94" si="14">_xlfn.XLOOKUP($D$86,$F$33:$H$33,$F$46:$H$46)</f>
        <v>1</v>
      </c>
      <c r="N89" s="15">
        <f>_xlfn.XLOOKUP($D$86,$F$33:$H$33,$F$49:$H$49)</f>
        <v>1</v>
      </c>
      <c r="O89" s="8">
        <f>I89*M89+K89*N89</f>
        <v>9726.4937088458755</v>
      </c>
      <c r="P89" s="4">
        <f>O89/1000</f>
        <v>9.7264937088458758</v>
      </c>
      <c r="R89" s="71">
        <f>O89</f>
        <v>9726.4937088458755</v>
      </c>
    </row>
    <row r="90" spans="3:18">
      <c r="D90" s="2" t="s">
        <v>12</v>
      </c>
      <c r="E90" s="8">
        <f>F$10</f>
        <v>10</v>
      </c>
      <c r="F90" s="15">
        <f>(1+_xlfn.XLOOKUP($D$86,$F$33:$H$33,$F$34:$H$34))^9</f>
        <v>1.0936852726843611</v>
      </c>
      <c r="G90" s="15">
        <f>(1+_xlfn.XLOOKUP($D$86,$F$33:$H$33,$F$37:$H$37))^9</f>
        <v>1.6894789590026928</v>
      </c>
      <c r="H90" s="31">
        <v>1</v>
      </c>
      <c r="I90" s="8">
        <f>E90*F90*G90</f>
        <v>18.477582559713507</v>
      </c>
      <c r="J90" s="15">
        <f>_xlfn.XLOOKUP($D$86,$F$33:$H$33,$F$40:$H$40)</f>
        <v>0.3</v>
      </c>
      <c r="K90" s="8">
        <f t="shared" si="13"/>
        <v>5.5432747679140517</v>
      </c>
      <c r="L90" s="8">
        <f t="shared" ref="L90:L96" si="15">I90+K90</f>
        <v>24.02085732762756</v>
      </c>
      <c r="M90" s="15">
        <f t="shared" si="14"/>
        <v>1</v>
      </c>
      <c r="N90" s="15">
        <f>_xlfn.XLOOKUP($D$86,$F$33:$H$33,$F$49:$H$49)</f>
        <v>1</v>
      </c>
      <c r="O90" s="8">
        <f t="shared" ref="O90:O92" si="16">I90*M90+K90*N90</f>
        <v>24.02085732762756</v>
      </c>
      <c r="P90" s="4">
        <f t="shared" ref="P90:P96" si="17">O90/1000</f>
        <v>2.402085732762756E-2</v>
      </c>
      <c r="R90" s="72">
        <f>O90+O91+O92</f>
        <v>240.20857327627562</v>
      </c>
    </row>
    <row r="91" spans="3:18">
      <c r="D91" s="2" t="s">
        <v>13</v>
      </c>
      <c r="E91" s="8">
        <f>F$11</f>
        <v>10</v>
      </c>
      <c r="F91" s="15">
        <f>(1+_xlfn.XLOOKUP($D$86,$F$33:$H$33,$F$34:$H$34))^9</f>
        <v>1.0936852726843611</v>
      </c>
      <c r="G91" s="15">
        <f>(1+_xlfn.XLOOKUP($D$86,$F$33:$H$33,$F$37:$H$37))^9</f>
        <v>1.6894789590026928</v>
      </c>
      <c r="H91" s="31">
        <v>1</v>
      </c>
      <c r="I91" s="8">
        <f>E91*F91*G91</f>
        <v>18.477582559713507</v>
      </c>
      <c r="J91" s="15">
        <f>_xlfn.XLOOKUP($D$86,$F$33:$H$33,$F$40:$H$40)</f>
        <v>0.3</v>
      </c>
      <c r="K91" s="8">
        <f t="shared" si="13"/>
        <v>5.5432747679140517</v>
      </c>
      <c r="L91" s="8">
        <f t="shared" si="15"/>
        <v>24.02085732762756</v>
      </c>
      <c r="M91" s="15">
        <f t="shared" si="14"/>
        <v>1</v>
      </c>
      <c r="N91" s="15">
        <f>_xlfn.XLOOKUP($D$86,$F$33:$H$33,$F$49:$H$49)</f>
        <v>1</v>
      </c>
      <c r="O91" s="8">
        <f t="shared" si="16"/>
        <v>24.02085732762756</v>
      </c>
      <c r="P91" s="4">
        <f t="shared" si="17"/>
        <v>2.402085732762756E-2</v>
      </c>
      <c r="R91" s="71">
        <f>O93</f>
        <v>536.61715660799996</v>
      </c>
    </row>
    <row r="92" spans="3:18">
      <c r="D92" s="2" t="s">
        <v>14</v>
      </c>
      <c r="E92" s="8">
        <f>F$12</f>
        <v>80</v>
      </c>
      <c r="F92" s="15">
        <f>(1+_xlfn.XLOOKUP($D$86,$F$33:$H$33,$F$34:$H$34))^9</f>
        <v>1.0936852726843611</v>
      </c>
      <c r="G92" s="15">
        <f>(1+_xlfn.XLOOKUP($D$86,$F$33:$H$33,$F$37:$H$37))^9</f>
        <v>1.6894789590026928</v>
      </c>
      <c r="H92" s="31">
        <v>1</v>
      </c>
      <c r="I92" s="8">
        <f>E92*F92*G92</f>
        <v>147.82066047770806</v>
      </c>
      <c r="J92" s="15">
        <f>_xlfn.XLOOKUP($D$86,$F$33:$H$33,$F$40:$H$40)</f>
        <v>0.3</v>
      </c>
      <c r="K92" s="8">
        <f t="shared" si="13"/>
        <v>44.346198143312414</v>
      </c>
      <c r="L92" s="8">
        <f t="shared" si="15"/>
        <v>192.16685862102048</v>
      </c>
      <c r="M92" s="15">
        <f t="shared" si="14"/>
        <v>1</v>
      </c>
      <c r="N92" s="15">
        <f>_xlfn.XLOOKUP($D$86,$F$33:$H$33,$F$49:$H$49)</f>
        <v>1</v>
      </c>
      <c r="O92" s="8">
        <f t="shared" si="16"/>
        <v>192.16685862102048</v>
      </c>
      <c r="P92" s="4">
        <f t="shared" si="17"/>
        <v>0.19216685862102048</v>
      </c>
      <c r="R92" s="71">
        <f t="shared" ref="R92:R94" si="18">O94</f>
        <v>566.8922329320103</v>
      </c>
    </row>
    <row r="93" spans="3:18">
      <c r="D93" s="2" t="s">
        <v>15</v>
      </c>
      <c r="E93" s="8">
        <f>F$13</f>
        <v>80</v>
      </c>
      <c r="F93" s="38">
        <f>(1+_xlfn.XLOOKUP(D86,'1_Inputs&amp;Hyp'!$F$66:$H$66,'1_Inputs&amp;Hyp'!$F$67:$H$67))^9</f>
        <v>1.0936852726843611</v>
      </c>
      <c r="G93" s="38">
        <f>(1+_xlfn.XLOOKUP($D$86,$F$33:$H$33,$F$37:$H$37))^9</f>
        <v>1.6894789590026928</v>
      </c>
      <c r="H93" s="23">
        <f>(1+_xlfn.XLOOKUP(D86,'1_Inputs&amp;Hyp'!$F$66:$H$66,'1_Inputs&amp;Hyp'!$F$68:$H$68))^9</f>
        <v>5.1597803519999994</v>
      </c>
      <c r="I93" s="8">
        <f>H$13*F93*G93+G$13*H93</f>
        <v>412.78242815999994</v>
      </c>
      <c r="J93" s="15">
        <f>_xlfn.XLOOKUP($D$86,$F$33:$H$33,$F$40:$H$40)</f>
        <v>0.3</v>
      </c>
      <c r="K93" s="8">
        <f t="shared" si="13"/>
        <v>123.83472844799998</v>
      </c>
      <c r="L93" s="8">
        <f t="shared" si="15"/>
        <v>536.61715660799996</v>
      </c>
      <c r="M93" s="15">
        <f t="shared" si="14"/>
        <v>1</v>
      </c>
      <c r="N93" s="15">
        <f>_xlfn.XLOOKUP($D$86,$F$33:$H$33,$F$49:$H$49)</f>
        <v>1</v>
      </c>
      <c r="O93" s="8">
        <f>I93*M93+K93*N93</f>
        <v>536.61715660799996</v>
      </c>
      <c r="P93" s="4">
        <f>O93/1000</f>
        <v>0.53661715660799991</v>
      </c>
      <c r="R93" s="71">
        <f t="shared" si="18"/>
        <v>1014.9549868928383</v>
      </c>
    </row>
    <row r="94" spans="3:18">
      <c r="D94" s="2" t="s">
        <v>103</v>
      </c>
      <c r="E94" s="8">
        <f>F$14</f>
        <v>260</v>
      </c>
      <c r="F94" s="15">
        <f>(1+_xlfn.XLOOKUP($D$86,$F$33:$H$33,$F$36:$H$36))^9</f>
        <v>1.0936852726843611</v>
      </c>
      <c r="G94" s="15">
        <f>(1+_xlfn.XLOOKUP($D$86,$F$33:$H$33,$F$39:$H$39))^9</f>
        <v>1.6894789590026928</v>
      </c>
      <c r="H94" s="31">
        <v>1</v>
      </c>
      <c r="I94" s="8">
        <f>E94*F94*G94</f>
        <v>480.41714655255112</v>
      </c>
      <c r="J94" s="15">
        <f>_xlfn.XLOOKUP($D$86,$F$33:$H$33,$F$42:$H$42)</f>
        <v>0.3</v>
      </c>
      <c r="K94" s="8">
        <f t="shared" si="13"/>
        <v>144.12514396576532</v>
      </c>
      <c r="L94" s="8">
        <f t="shared" si="15"/>
        <v>624.54229051831646</v>
      </c>
      <c r="M94" s="15">
        <f t="shared" si="14"/>
        <v>1</v>
      </c>
      <c r="N94" s="15">
        <f>_xlfn.XLOOKUP($D$86,$F$33:$H$33,$F$51:$H$51)</f>
        <v>0.6</v>
      </c>
      <c r="O94" s="8">
        <f t="shared" ref="O94:O96" si="19">I94*M94+K94*N94</f>
        <v>566.8922329320103</v>
      </c>
      <c r="P94" s="4">
        <f t="shared" si="17"/>
        <v>0.5668922329320103</v>
      </c>
      <c r="R94" s="71">
        <f t="shared" si="18"/>
        <v>1642.8936026152946</v>
      </c>
    </row>
    <row r="95" spans="3:18">
      <c r="D95" s="2" t="s">
        <v>17</v>
      </c>
      <c r="E95" s="8">
        <f>F$15</f>
        <v>602.72</v>
      </c>
      <c r="F95" s="15">
        <f>(1+_xlfn.XLOOKUP($D$86,$F$33:$H$33,$F$35:$H$35))^9</f>
        <v>1.0936852726843611</v>
      </c>
      <c r="G95" s="15">
        <f>(1+_xlfn.XLOOKUP($D$86,$F$33:$H$33,$F$38:$H$38))^9</f>
        <v>1.8384592124201549</v>
      </c>
      <c r="H95" s="31">
        <v>1</v>
      </c>
      <c r="I95" s="8">
        <f>E95*F95*G95</f>
        <v>1211.8865515138368</v>
      </c>
      <c r="J95" s="15">
        <f>_xlfn.XLOOKUP($D$86,$F$33:$H$33,$F$41:$H$41)</f>
        <v>0.45</v>
      </c>
      <c r="K95" s="8">
        <f t="shared" si="13"/>
        <v>545.34894818122655</v>
      </c>
      <c r="L95" s="8">
        <f t="shared" si="15"/>
        <v>1757.2354996950635</v>
      </c>
      <c r="M95" s="15">
        <f>_xlfn.XLOOKUP($D$86,$F$33:$H$33,$F$47:$H$47)</f>
        <v>0.5</v>
      </c>
      <c r="N95" s="15">
        <f>_xlfn.XLOOKUP($D$86,$F$33:$H$33,$F$50:$H$50)</f>
        <v>0.75</v>
      </c>
      <c r="O95" s="8">
        <f>I95*M95+K95*N95</f>
        <v>1014.9549868928383</v>
      </c>
      <c r="P95" s="4">
        <f t="shared" si="17"/>
        <v>1.0149549868928383</v>
      </c>
    </row>
    <row r="96" spans="3:18">
      <c r="D96" s="2" t="s">
        <v>20</v>
      </c>
      <c r="E96" s="8">
        <f>F$16</f>
        <v>1677.6</v>
      </c>
      <c r="F96" s="15">
        <f>(1+_xlfn.XLOOKUP($D$86,$F$33:$H$33,$F$36:$H$36))^9</f>
        <v>1.0936852726843611</v>
      </c>
      <c r="G96" s="15">
        <f>(1+_xlfn.XLOOKUP($D$86,$F$33:$H$33,$F$39:$H$39))^9</f>
        <v>1.6894789590026928</v>
      </c>
      <c r="H96" s="31">
        <v>1</v>
      </c>
      <c r="I96" s="8">
        <f>E96*F96*G96</f>
        <v>3099.7992502175375</v>
      </c>
      <c r="J96" s="15">
        <f>_xlfn.XLOOKUP($D$86,$F$33:$H$33,$F$42:$H$42)</f>
        <v>0.3</v>
      </c>
      <c r="K96" s="8">
        <f t="shared" si="13"/>
        <v>929.93977506526119</v>
      </c>
      <c r="L96" s="8">
        <f t="shared" si="15"/>
        <v>4029.7390252827986</v>
      </c>
      <c r="M96" s="15">
        <f>_xlfn.XLOOKUP($D$86,$F$33:$H$33,$F$48:$H$48)</f>
        <v>0.35</v>
      </c>
      <c r="N96" s="15">
        <f>_xlfn.XLOOKUP($D$86,$F$33:$H$33,$F$51:$H$51)</f>
        <v>0.6</v>
      </c>
      <c r="O96" s="8">
        <f t="shared" si="19"/>
        <v>1642.8936026152946</v>
      </c>
      <c r="P96" s="4">
        <f t="shared" si="17"/>
        <v>1.6428936026152947</v>
      </c>
    </row>
    <row r="97" spans="4:16">
      <c r="D97" s="2"/>
      <c r="E97" s="8"/>
      <c r="F97" s="8"/>
      <c r="G97" s="8"/>
      <c r="H97" s="8"/>
      <c r="I97" s="8"/>
      <c r="J97" s="8"/>
      <c r="K97" s="8"/>
      <c r="L97" s="8"/>
      <c r="M97" s="8"/>
      <c r="N97" s="8"/>
      <c r="O97" s="8"/>
      <c r="P97" s="4"/>
    </row>
    <row r="98" spans="4:16">
      <c r="D98" s="5" t="s">
        <v>104</v>
      </c>
      <c r="E98" s="16">
        <f>SUM(E89:E96)</f>
        <v>3520.3199999999997</v>
      </c>
      <c r="F98" s="16"/>
      <c r="G98" s="16"/>
      <c r="H98" s="16"/>
      <c r="I98" s="16">
        <f>SUM(I89:I96)</f>
        <v>12871.579439614809</v>
      </c>
      <c r="J98" s="16"/>
      <c r="K98" s="16">
        <f>SUM(K89:K96)</f>
        <v>4043.2568146115191</v>
      </c>
      <c r="L98" s="16">
        <f>SUM(L89:L96)</f>
        <v>16914.836254226328</v>
      </c>
      <c r="M98" s="16"/>
      <c r="N98" s="16"/>
      <c r="O98" s="16">
        <f>SUM(O89:O96)</f>
        <v>13728.060261170293</v>
      </c>
      <c r="P98" s="16">
        <f>SUM(P89:P96)</f>
        <v>13.728060261170295</v>
      </c>
    </row>
    <row r="99" spans="4:16">
      <c r="D99" s="2"/>
      <c r="E99" s="2"/>
      <c r="F99" s="2"/>
      <c r="G99" s="2"/>
      <c r="H99" s="2"/>
      <c r="I99" s="2"/>
      <c r="J99" s="2"/>
      <c r="K99" s="2"/>
      <c r="L99" s="2"/>
      <c r="M99" s="2"/>
      <c r="N99" s="2"/>
      <c r="O99" s="2"/>
      <c r="P99" s="2"/>
    </row>
    <row r="100" spans="4:16">
      <c r="D100" s="2"/>
      <c r="E100" s="2"/>
      <c r="F100" s="2"/>
      <c r="G100" s="2"/>
      <c r="H100" s="2"/>
      <c r="I100" s="2"/>
      <c r="J100" s="2"/>
      <c r="K100" s="2"/>
      <c r="L100" s="2"/>
      <c r="M100" s="2"/>
      <c r="N100" s="2"/>
      <c r="O100" s="2"/>
      <c r="P100" s="2"/>
    </row>
    <row r="101" spans="4:16">
      <c r="D101" s="2"/>
      <c r="E101" s="2"/>
      <c r="F101" s="2"/>
      <c r="G101" s="2"/>
      <c r="H101" s="2"/>
      <c r="I101" s="2"/>
      <c r="J101" s="2"/>
      <c r="K101" s="2"/>
      <c r="L101" s="2"/>
      <c r="M101" s="2"/>
      <c r="N101" s="2"/>
      <c r="O101" s="2"/>
      <c r="P101" s="2"/>
    </row>
    <row r="102" spans="4:16">
      <c r="D102" s="2"/>
      <c r="E102" s="2"/>
      <c r="F102" s="2"/>
      <c r="G102" s="2"/>
      <c r="H102" s="2"/>
      <c r="I102" s="2"/>
      <c r="J102" s="2"/>
      <c r="K102" s="2"/>
      <c r="L102" s="2"/>
      <c r="M102" s="2"/>
      <c r="N102" s="2"/>
      <c r="O102" s="2"/>
      <c r="P102" s="2"/>
    </row>
    <row r="103" spans="4:16">
      <c r="D103" s="2"/>
      <c r="E103" s="2"/>
      <c r="F103" s="2"/>
      <c r="G103" s="2"/>
      <c r="H103" s="2"/>
      <c r="I103" s="2"/>
      <c r="J103" s="2"/>
      <c r="K103" s="2"/>
      <c r="L103" s="2"/>
      <c r="M103" s="2"/>
      <c r="N103" s="2"/>
      <c r="O103" s="2"/>
      <c r="P103" s="2"/>
    </row>
    <row r="104" spans="4:16">
      <c r="D104" s="2"/>
      <c r="E104" s="2"/>
      <c r="F104" s="2"/>
      <c r="G104" s="2"/>
      <c r="H104" s="2"/>
      <c r="I104" s="2"/>
      <c r="J104" s="2"/>
      <c r="K104" s="2"/>
      <c r="L104" s="2"/>
      <c r="M104" s="2"/>
      <c r="N104" s="2"/>
      <c r="O104" s="2"/>
      <c r="P104" s="2"/>
    </row>
    <row r="105" spans="4:16">
      <c r="D105" s="2"/>
      <c r="E105" s="2"/>
      <c r="F105" s="2"/>
      <c r="G105" s="2"/>
      <c r="H105" s="2"/>
      <c r="I105" s="2"/>
      <c r="J105" s="2"/>
      <c r="K105" s="2"/>
      <c r="L105" s="2"/>
      <c r="M105" s="2"/>
      <c r="N105" s="2"/>
      <c r="O105" s="2"/>
      <c r="P105" s="2"/>
    </row>
    <row r="106" spans="4:16">
      <c r="D106" s="2"/>
      <c r="E106" s="2"/>
      <c r="F106" s="2"/>
      <c r="G106" s="2"/>
      <c r="H106" s="2"/>
      <c r="I106" s="2"/>
      <c r="J106" s="2"/>
      <c r="K106" s="2"/>
      <c r="L106" s="2"/>
      <c r="M106" s="2"/>
      <c r="N106" s="2"/>
      <c r="O106" s="2"/>
      <c r="P106" s="2"/>
    </row>
    <row r="107" spans="4:16">
      <c r="D107" s="2"/>
      <c r="E107" s="2"/>
      <c r="F107" s="2"/>
      <c r="G107" s="2"/>
      <c r="H107" s="2"/>
      <c r="I107" s="2"/>
      <c r="J107" s="2"/>
      <c r="K107" s="2"/>
      <c r="L107" s="2"/>
      <c r="M107" s="2"/>
      <c r="N107" s="2"/>
      <c r="O107" s="2"/>
      <c r="P107" s="2"/>
    </row>
    <row r="108" spans="4:16">
      <c r="D108" s="2"/>
      <c r="E108" s="2"/>
      <c r="F108" s="2"/>
      <c r="G108" s="2"/>
      <c r="H108" s="2"/>
      <c r="I108" s="2"/>
      <c r="J108" s="2"/>
      <c r="K108" s="2"/>
      <c r="L108" s="2"/>
      <c r="M108" s="2"/>
      <c r="N108" s="2"/>
      <c r="O108" s="2"/>
      <c r="P108" s="2"/>
    </row>
    <row r="109" spans="4:16">
      <c r="D109" s="2"/>
      <c r="E109" s="2"/>
      <c r="F109" s="2"/>
      <c r="G109" s="2"/>
      <c r="H109" s="2"/>
      <c r="I109" s="2"/>
      <c r="J109" s="2"/>
      <c r="K109" s="2"/>
      <c r="L109" s="2"/>
      <c r="M109" s="2"/>
      <c r="N109" s="2"/>
      <c r="O109" s="2"/>
      <c r="P109" s="2"/>
    </row>
    <row r="110" spans="4:16">
      <c r="D110" s="2"/>
      <c r="E110" s="2"/>
      <c r="F110" s="2"/>
      <c r="G110" s="2"/>
      <c r="H110" s="2"/>
      <c r="I110" s="2"/>
      <c r="J110" s="2"/>
      <c r="K110" s="2"/>
      <c r="L110" s="2"/>
      <c r="M110" s="2"/>
      <c r="N110" s="2"/>
      <c r="O110" s="2"/>
      <c r="P110" s="2"/>
    </row>
    <row r="111" spans="4:16">
      <c r="D111" s="2"/>
      <c r="E111" s="2"/>
      <c r="F111" s="2"/>
      <c r="G111" s="2"/>
      <c r="H111" s="2"/>
      <c r="I111" s="2"/>
      <c r="J111" s="2"/>
      <c r="K111" s="2"/>
      <c r="L111" s="2"/>
      <c r="M111" s="2"/>
      <c r="N111" s="2"/>
      <c r="O111" s="2"/>
      <c r="P111" s="2"/>
    </row>
    <row r="112" spans="4:16">
      <c r="D112" s="2"/>
      <c r="E112" s="2"/>
      <c r="F112" s="2"/>
      <c r="G112" s="2"/>
      <c r="H112" s="2"/>
      <c r="I112" s="2"/>
      <c r="J112" s="2"/>
      <c r="K112" s="2"/>
      <c r="L112" s="2"/>
      <c r="M112" s="2"/>
      <c r="N112" s="2"/>
      <c r="O112" s="2"/>
      <c r="P112" s="2"/>
    </row>
    <row r="113" spans="4:16">
      <c r="D113" s="2"/>
      <c r="E113" s="2"/>
      <c r="F113" s="2"/>
      <c r="G113" s="2"/>
      <c r="H113" s="2"/>
      <c r="I113" s="2"/>
      <c r="J113" s="2"/>
      <c r="K113" s="2"/>
      <c r="L113" s="2"/>
      <c r="M113" s="2"/>
      <c r="N113" s="2"/>
      <c r="O113" s="2"/>
      <c r="P113" s="2"/>
    </row>
    <row r="114" spans="4:16">
      <c r="D114" s="2"/>
      <c r="E114" s="2"/>
      <c r="F114" s="2"/>
      <c r="G114" s="2"/>
      <c r="H114" s="2"/>
      <c r="I114" s="2"/>
      <c r="J114" s="2"/>
      <c r="K114" s="2"/>
      <c r="L114" s="2"/>
      <c r="M114" s="2"/>
      <c r="N114" s="2"/>
      <c r="O114" s="2"/>
      <c r="P114" s="2"/>
    </row>
    <row r="115" spans="4:16">
      <c r="D115" s="2"/>
      <c r="E115" s="2"/>
      <c r="F115" s="2"/>
      <c r="G115" s="2"/>
      <c r="H115" s="2"/>
      <c r="I115" s="2"/>
      <c r="J115" s="2"/>
      <c r="K115" s="2"/>
      <c r="L115" s="2"/>
      <c r="M115" s="2"/>
      <c r="N115" s="2"/>
      <c r="O115" s="2"/>
      <c r="P115" s="2"/>
    </row>
    <row r="116" spans="4:16">
      <c r="D116" s="2"/>
      <c r="E116" s="2"/>
      <c r="F116" s="2"/>
      <c r="G116" s="2"/>
      <c r="H116" s="2"/>
      <c r="I116" s="2"/>
      <c r="J116" s="2"/>
      <c r="K116" s="2"/>
      <c r="L116" s="2"/>
      <c r="M116" s="2"/>
      <c r="N116" s="2"/>
      <c r="O116" s="2"/>
      <c r="P116" s="2"/>
    </row>
    <row r="117" spans="4:16">
      <c r="D117" s="2"/>
      <c r="E117" s="2"/>
      <c r="F117" s="2"/>
      <c r="G117" s="2"/>
      <c r="H117" s="2"/>
      <c r="I117" s="2"/>
      <c r="J117" s="2"/>
      <c r="K117" s="2"/>
      <c r="L117" s="2"/>
      <c r="M117" s="2"/>
      <c r="N117" s="2"/>
      <c r="O117" s="2"/>
      <c r="P117" s="2"/>
    </row>
    <row r="118" spans="4:16">
      <c r="D118" s="2"/>
      <c r="E118" s="2"/>
      <c r="F118" s="2"/>
      <c r="G118" s="2"/>
      <c r="H118" s="2"/>
      <c r="I118" s="2"/>
      <c r="J118" s="2"/>
      <c r="K118" s="2"/>
      <c r="L118" s="2"/>
      <c r="M118" s="2"/>
      <c r="N118" s="2"/>
      <c r="O118" s="2"/>
      <c r="P118" s="2"/>
    </row>
    <row r="119" spans="4:16">
      <c r="D119" s="2"/>
      <c r="E119" s="2"/>
      <c r="F119" s="2"/>
      <c r="G119" s="2"/>
      <c r="H119" s="2"/>
      <c r="I119" s="2"/>
      <c r="J119" s="2"/>
      <c r="K119" s="2"/>
      <c r="L119" s="2"/>
      <c r="M119" s="2"/>
      <c r="N119" s="2"/>
      <c r="O119" s="2"/>
      <c r="P119" s="2"/>
    </row>
    <row r="120" spans="4:16">
      <c r="D120" s="2"/>
      <c r="E120" s="2"/>
      <c r="F120" s="2"/>
      <c r="G120" s="2"/>
      <c r="H120" s="2"/>
      <c r="I120" s="2"/>
      <c r="J120" s="2"/>
      <c r="K120" s="2"/>
      <c r="L120" s="2"/>
      <c r="M120" s="2"/>
      <c r="N120" s="2"/>
      <c r="O120" s="2"/>
      <c r="P120" s="2"/>
    </row>
  </sheetData>
  <mergeCells count="3">
    <mergeCell ref="D31:P31"/>
    <mergeCell ref="D6:P6"/>
    <mergeCell ref="D54:P54"/>
  </mergeCells>
  <pageMargins left="0.7" right="0.7" top="0.75" bottom="0.75" header="0.3" footer="0.3"/>
  <headerFooter>
    <oddHeader>&amp;L&amp;"Aptos"&amp;10&amp;K000000 INTERNAL&amp;1#_x000D_</oddHeader>
  </headerFooter>
</worksheet>
</file>

<file path=xl/worksheets/sheet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300-000000000000}">
  <dimension ref="B1:N96"/>
  <sheetViews>
    <sheetView tabSelected="1" zoomScale="85" zoomScaleNormal="85" workbookViewId="0">
      <selection activeCell="G28" sqref="G28"/>
    </sheetView>
  </sheetViews>
  <sheetFormatPr defaultColWidth="8.69921875" defaultRowHeight="15"/>
  <cols>
    <col min="1" max="1" width="8.69921875" style="1"/>
    <col min="2" max="2" width="40" style="1" bestFit="1" customWidth="1"/>
    <col min="3" max="5" width="16" style="1" customWidth="1"/>
    <col min="6" max="6" width="4" style="1" customWidth="1"/>
    <col min="7" max="14" width="14" style="1" customWidth="1"/>
    <col min="15" max="16384" width="8.69921875" style="1"/>
  </cols>
  <sheetData>
    <row r="1" spans="2:14">
      <c r="B1" s="2"/>
      <c r="C1" s="2"/>
      <c r="D1" s="2"/>
      <c r="E1" s="2"/>
      <c r="F1" s="2"/>
      <c r="G1" s="2"/>
      <c r="H1" s="2"/>
      <c r="I1" s="2"/>
      <c r="J1" s="2"/>
      <c r="K1" s="2"/>
      <c r="L1" s="2"/>
      <c r="M1" s="2"/>
      <c r="N1" s="2"/>
    </row>
    <row r="2" spans="2:14" ht="22.35" customHeight="1">
      <c r="B2" s="68" t="s">
        <v>134</v>
      </c>
      <c r="C2" s="68"/>
      <c r="D2" s="68"/>
      <c r="E2" s="68"/>
      <c r="F2" s="68"/>
      <c r="G2" s="68"/>
      <c r="H2" s="68"/>
      <c r="I2" s="68"/>
      <c r="J2" s="68"/>
      <c r="K2" s="68"/>
      <c r="L2" s="68"/>
      <c r="M2" s="68"/>
      <c r="N2" s="68"/>
    </row>
    <row r="3" spans="2:14">
      <c r="B3" s="69" t="s">
        <v>135</v>
      </c>
      <c r="C3" s="69"/>
      <c r="D3" s="69"/>
      <c r="E3" s="69"/>
      <c r="F3" s="69"/>
      <c r="G3" s="69"/>
      <c r="H3" s="69"/>
      <c r="I3" s="69"/>
      <c r="J3" s="69"/>
      <c r="K3" s="69"/>
      <c r="L3" s="69"/>
      <c r="M3" s="69"/>
      <c r="N3" s="69"/>
    </row>
    <row r="4" spans="2:14">
      <c r="B4" s="2"/>
      <c r="C4" s="2"/>
      <c r="D4" s="2"/>
      <c r="E4" s="2"/>
      <c r="F4" s="2"/>
      <c r="G4" s="2"/>
      <c r="H4" s="2"/>
      <c r="I4" s="2"/>
      <c r="J4" s="2"/>
      <c r="K4" s="2"/>
      <c r="L4" s="2"/>
      <c r="M4" s="2"/>
      <c r="N4" s="2"/>
    </row>
    <row r="5" spans="2:14" ht="16.2" customHeight="1">
      <c r="B5" s="3" t="s">
        <v>136</v>
      </c>
      <c r="C5" s="3"/>
      <c r="D5" s="3"/>
      <c r="E5" s="3"/>
      <c r="F5" s="3"/>
      <c r="G5" s="3"/>
      <c r="H5" s="3"/>
      <c r="I5" s="3"/>
      <c r="J5" s="3"/>
      <c r="K5" s="3"/>
      <c r="L5" s="3"/>
      <c r="M5" s="3"/>
      <c r="N5" s="3"/>
    </row>
    <row r="6" spans="2:14" ht="16.2" customHeight="1">
      <c r="B6" s="19"/>
      <c r="C6" s="19"/>
      <c r="D6" s="19"/>
      <c r="E6" s="19"/>
      <c r="F6" s="19"/>
      <c r="G6" s="19"/>
      <c r="H6" s="19"/>
      <c r="I6" s="19"/>
      <c r="J6" s="19"/>
      <c r="K6" s="19"/>
      <c r="L6" s="19"/>
      <c r="M6" s="19"/>
      <c r="N6" s="19"/>
    </row>
    <row r="7" spans="2:14" ht="15.6" thickBot="1">
      <c r="B7" s="22" t="s">
        <v>137</v>
      </c>
      <c r="C7" s="22" t="s">
        <v>138</v>
      </c>
      <c r="D7" s="22" t="s">
        <v>139</v>
      </c>
      <c r="E7" s="22" t="s">
        <v>140</v>
      </c>
      <c r="F7" s="2"/>
      <c r="G7" s="2"/>
      <c r="H7" s="2"/>
      <c r="I7" s="2"/>
      <c r="J7" s="2"/>
      <c r="K7" s="2"/>
      <c r="L7" s="2"/>
      <c r="M7" s="2"/>
      <c r="N7" s="2"/>
    </row>
    <row r="8" spans="2:14">
      <c r="B8" s="2" t="s">
        <v>141</v>
      </c>
      <c r="C8" s="4">
        <f>'2_Calculs'!$F$17/10^3</f>
        <v>3.5203199999999999</v>
      </c>
      <c r="D8" s="4">
        <f>'2_Calculs'!$F$17/10^3</f>
        <v>3.5203199999999999</v>
      </c>
      <c r="E8" s="4">
        <f>'2_Calculs'!$F$17/10^3</f>
        <v>3.5203199999999999</v>
      </c>
      <c r="F8" s="2"/>
      <c r="G8" s="2"/>
      <c r="H8" s="2"/>
      <c r="I8" s="2"/>
      <c r="J8" s="2"/>
      <c r="K8" s="2"/>
      <c r="L8" s="2"/>
      <c r="M8" s="2"/>
      <c r="N8" s="2"/>
    </row>
    <row r="9" spans="2:14">
      <c r="B9" s="2" t="s">
        <v>142</v>
      </c>
      <c r="C9" s="4">
        <f>'2_Calculs'!L68/10^3</f>
        <v>11.395345518376875</v>
      </c>
      <c r="D9" s="4">
        <f>'2_Calculs'!L83/10^3</f>
        <v>13.524066839300088</v>
      </c>
      <c r="E9" s="4">
        <f>'2_Calculs'!L98/10^3</f>
        <v>16.914836254226326</v>
      </c>
      <c r="F9" s="2"/>
      <c r="G9" s="2"/>
      <c r="H9" s="2"/>
      <c r="I9" s="2"/>
      <c r="J9" s="2"/>
      <c r="K9" s="2"/>
      <c r="L9" s="2"/>
      <c r="M9" s="2"/>
      <c r="N9" s="2"/>
    </row>
    <row r="10" spans="2:14" ht="15.6" thickBot="1">
      <c r="B10" s="24" t="s">
        <v>143</v>
      </c>
      <c r="C10" s="35">
        <f>'2_Calculs'!P68</f>
        <v>8.5015226253222309</v>
      </c>
      <c r="D10" s="35">
        <f>'2_Calculs'!P83</f>
        <v>9.9721917348111866</v>
      </c>
      <c r="E10" s="35">
        <f>'2_Calculs'!P98</f>
        <v>13.728060261170295</v>
      </c>
      <c r="F10" s="2"/>
      <c r="G10" s="2"/>
      <c r="H10" s="2"/>
      <c r="I10" s="2"/>
      <c r="J10" s="2"/>
      <c r="K10" s="2"/>
      <c r="L10" s="2"/>
      <c r="M10" s="2"/>
      <c r="N10" s="2"/>
    </row>
    <row r="11" spans="2:14" ht="15.6" thickTop="1">
      <c r="B11" s="2"/>
      <c r="C11" s="4"/>
      <c r="D11" s="4"/>
      <c r="E11" s="4"/>
      <c r="F11" s="2"/>
      <c r="G11" s="2"/>
      <c r="H11" s="2"/>
      <c r="I11" s="2"/>
      <c r="J11" s="2"/>
      <c r="K11" s="2"/>
      <c r="L11" s="2"/>
      <c r="M11" s="2"/>
      <c r="N11" s="2"/>
    </row>
    <row r="12" spans="2:14">
      <c r="B12" s="32" t="s">
        <v>144</v>
      </c>
      <c r="C12" s="34">
        <f>C10/C9</f>
        <v>0.74605220277104567</v>
      </c>
      <c r="D12" s="34">
        <f t="shared" ref="D12:E12" si="0">D10/D9</f>
        <v>0.73736634499857867</v>
      </c>
      <c r="E12" s="34">
        <f t="shared" si="0"/>
        <v>0.8115987677823493</v>
      </c>
      <c r="F12" s="2"/>
      <c r="G12" s="2"/>
      <c r="H12" s="2"/>
      <c r="I12" s="2"/>
      <c r="J12" s="2"/>
      <c r="K12" s="2"/>
      <c r="L12" s="2"/>
      <c r="M12" s="2"/>
      <c r="N12" s="2"/>
    </row>
    <row r="13" spans="2:14">
      <c r="B13" s="32" t="s">
        <v>145</v>
      </c>
      <c r="C13" s="33">
        <f>C9/C8</f>
        <v>3.2370197931940492</v>
      </c>
      <c r="D13" s="33">
        <f t="shared" ref="D13:E13" si="1">D9/D8</f>
        <v>3.8417151961469664</v>
      </c>
      <c r="E13" s="33">
        <f t="shared" si="1"/>
        <v>4.8049143981871891</v>
      </c>
      <c r="F13" s="2"/>
      <c r="G13" s="2"/>
      <c r="H13" s="2"/>
      <c r="I13" s="2"/>
      <c r="J13" s="2"/>
      <c r="K13" s="2"/>
      <c r="L13" s="2"/>
      <c r="M13" s="2"/>
      <c r="N13" s="2"/>
    </row>
    <row r="14" spans="2:14">
      <c r="B14" s="2"/>
      <c r="C14" s="2"/>
      <c r="D14" s="2"/>
      <c r="E14" s="2"/>
      <c r="F14" s="2"/>
      <c r="G14" s="2"/>
      <c r="H14" s="2"/>
      <c r="I14" s="2"/>
      <c r="J14" s="2"/>
      <c r="K14" s="2"/>
      <c r="L14" s="2"/>
      <c r="M14" s="2"/>
      <c r="N14" s="2"/>
    </row>
    <row r="15" spans="2:14">
      <c r="B15" s="2"/>
      <c r="C15" s="2"/>
      <c r="D15" s="2"/>
      <c r="E15" s="2"/>
      <c r="F15" s="2"/>
      <c r="G15" s="2"/>
      <c r="H15" s="2"/>
      <c r="I15" s="2"/>
      <c r="J15" s="2"/>
      <c r="K15" s="2"/>
      <c r="L15" s="2"/>
      <c r="M15" s="2"/>
      <c r="N15" s="2"/>
    </row>
    <row r="16" spans="2:14" ht="16.2" customHeight="1">
      <c r="B16" s="74" t="s">
        <v>146</v>
      </c>
      <c r="C16" s="74"/>
      <c r="D16" s="74"/>
      <c r="E16" s="74"/>
      <c r="F16" s="74"/>
      <c r="G16" s="74"/>
      <c r="H16" s="74"/>
      <c r="I16" s="74"/>
      <c r="J16" s="74"/>
      <c r="K16" s="74"/>
      <c r="L16" s="74"/>
      <c r="M16" s="74"/>
      <c r="N16" s="74"/>
    </row>
    <row r="17" spans="2:14" ht="16.2" customHeight="1">
      <c r="B17" s="19"/>
      <c r="C17" s="19"/>
      <c r="D17" s="19"/>
      <c r="E17" s="19"/>
      <c r="F17" s="19"/>
      <c r="G17" s="19"/>
      <c r="H17" s="19"/>
      <c r="I17" s="19"/>
      <c r="J17" s="19"/>
      <c r="K17" s="19"/>
      <c r="L17" s="19"/>
      <c r="M17" s="19"/>
      <c r="N17" s="19"/>
    </row>
    <row r="18" spans="2:14" ht="15.6" thickBot="1">
      <c r="B18" s="22" t="s">
        <v>5</v>
      </c>
      <c r="C18" s="22" t="s">
        <v>138</v>
      </c>
      <c r="D18" s="22" t="s">
        <v>139</v>
      </c>
      <c r="E18" s="22" t="s">
        <v>140</v>
      </c>
      <c r="F18" s="2"/>
      <c r="G18" s="2"/>
      <c r="H18" s="2"/>
      <c r="I18" s="2"/>
      <c r="J18" s="2"/>
      <c r="K18" s="2"/>
      <c r="L18" s="2"/>
      <c r="M18" s="2"/>
      <c r="N18" s="2"/>
    </row>
    <row r="19" spans="2:14">
      <c r="B19" s="2" t="s">
        <v>9</v>
      </c>
      <c r="C19" s="4">
        <f>'2_Calculs'!P59</f>
        <v>7.5629922912243943</v>
      </c>
      <c r="D19" s="4">
        <f>'2_Calculs'!P74</f>
        <v>8.1479165167807555</v>
      </c>
      <c r="E19" s="4">
        <f>'2_Calculs'!P89</f>
        <v>9.7264937088458758</v>
      </c>
      <c r="F19" s="2"/>
      <c r="G19" s="2"/>
      <c r="H19" s="2"/>
      <c r="I19" s="2"/>
      <c r="J19" s="2"/>
      <c r="K19" s="2"/>
      <c r="L19" s="2"/>
      <c r="M19" s="2"/>
      <c r="N19" s="2"/>
    </row>
    <row r="20" spans="2:14">
      <c r="B20" s="2" t="s">
        <v>147</v>
      </c>
      <c r="C20" s="4">
        <f>'2_Calculs'!P60+'2_Calculs'!P61+'2_Calculs'!P62</f>
        <v>0.12100312257300898</v>
      </c>
      <c r="D20" s="4">
        <f>'2_Calculs'!P75+'2_Calculs'!P76+'2_Calculs'!P77</f>
        <v>0.16226360014168051</v>
      </c>
      <c r="E20" s="4">
        <f>'2_Calculs'!P90+'2_Calculs'!P91+'2_Calculs'!P92</f>
        <v>0.24020857327627559</v>
      </c>
      <c r="F20" s="2"/>
      <c r="G20" s="2"/>
      <c r="H20" s="2"/>
      <c r="I20" s="2"/>
      <c r="J20" s="2"/>
      <c r="K20" s="2"/>
      <c r="L20" s="2"/>
      <c r="M20" s="2"/>
      <c r="N20" s="2"/>
    </row>
    <row r="21" spans="2:14">
      <c r="B21" s="2" t="s">
        <v>15</v>
      </c>
      <c r="C21" s="4">
        <f>'2_Calculs'!P63</f>
        <v>0.12565758549425979</v>
      </c>
      <c r="D21" s="4">
        <f>'2_Calculs'!P78</f>
        <v>0.20561303865520011</v>
      </c>
      <c r="E21" s="4">
        <f>'2_Calculs'!P93</f>
        <v>0.53661715660799991</v>
      </c>
      <c r="F21" s="2"/>
      <c r="G21" s="2"/>
      <c r="H21" s="2"/>
      <c r="I21" s="2"/>
      <c r="J21" s="2"/>
      <c r="K21" s="2"/>
      <c r="L21" s="2"/>
      <c r="M21" s="2"/>
      <c r="N21" s="2"/>
    </row>
    <row r="22" spans="2:14">
      <c r="B22" s="2" t="s">
        <v>103</v>
      </c>
      <c r="C22" s="4">
        <f>'2_Calculs'!P64</f>
        <v>0.31227768818100982</v>
      </c>
      <c r="D22" s="4">
        <f>'2_Calculs'!P79</f>
        <v>0.40446807484857428</v>
      </c>
      <c r="E22" s="4">
        <f>'2_Calculs'!P94</f>
        <v>0.5668922329320103</v>
      </c>
      <c r="F22" s="2"/>
      <c r="G22" s="2"/>
      <c r="H22" s="2"/>
      <c r="I22" s="2"/>
      <c r="J22" s="2"/>
      <c r="K22" s="2"/>
      <c r="L22" s="2"/>
      <c r="M22" s="2"/>
      <c r="N22" s="2"/>
    </row>
    <row r="23" spans="2:14">
      <c r="B23" s="2" t="s">
        <v>17</v>
      </c>
      <c r="C23" s="4">
        <f>'2_Calculs'!P65</f>
        <v>0.16907877207187588</v>
      </c>
      <c r="D23" s="4">
        <f>'2_Calculs'!P80</f>
        <v>0.44007466198651496</v>
      </c>
      <c r="E23" s="4">
        <f>'2_Calculs'!P95</f>
        <v>1.0149549868928383</v>
      </c>
      <c r="F23" s="2"/>
      <c r="G23" s="2"/>
      <c r="H23" s="2"/>
      <c r="I23" s="2"/>
      <c r="J23" s="2"/>
      <c r="K23" s="2"/>
      <c r="L23" s="2"/>
      <c r="M23" s="2"/>
      <c r="N23" s="2"/>
    </row>
    <row r="24" spans="2:14">
      <c r="B24" s="2" t="s">
        <v>20</v>
      </c>
      <c r="C24" s="4">
        <f>'2_Calculs'!P66</f>
        <v>0.21051316577768281</v>
      </c>
      <c r="D24" s="4">
        <f>'2_Calculs'!P81</f>
        <v>0.61185584239846225</v>
      </c>
      <c r="E24" s="4">
        <f>'2_Calculs'!P96</f>
        <v>1.6428936026152947</v>
      </c>
      <c r="F24" s="2"/>
      <c r="G24" s="2"/>
      <c r="H24" s="2"/>
      <c r="I24" s="2"/>
      <c r="J24" s="2"/>
      <c r="K24" s="2"/>
      <c r="L24" s="2"/>
      <c r="M24" s="2"/>
      <c r="N24" s="2"/>
    </row>
    <row r="25" spans="2:14">
      <c r="B25" s="5" t="s">
        <v>104</v>
      </c>
      <c r="C25" s="6">
        <f>SUM(C19:C24)</f>
        <v>8.5015226253222291</v>
      </c>
      <c r="D25" s="6">
        <f>SUM(D19:D24)</f>
        <v>9.9721917348111866</v>
      </c>
      <c r="E25" s="6">
        <f>SUM(E19:E24)</f>
        <v>13.728060261170295</v>
      </c>
      <c r="F25" s="2"/>
      <c r="G25" s="2"/>
      <c r="H25" s="2"/>
      <c r="I25" s="2"/>
      <c r="J25" s="2"/>
      <c r="K25" s="2"/>
      <c r="L25" s="2"/>
      <c r="M25" s="2"/>
      <c r="N25" s="2"/>
    </row>
    <row r="26" spans="2:14">
      <c r="B26" s="39" t="s">
        <v>148</v>
      </c>
      <c r="C26" s="39" t="b">
        <f>C25=C10</f>
        <v>1</v>
      </c>
      <c r="D26" s="39" t="b">
        <f t="shared" ref="D26:E26" si="2">D25=D10</f>
        <v>1</v>
      </c>
      <c r="E26" s="39" t="b">
        <f t="shared" si="2"/>
        <v>1</v>
      </c>
      <c r="F26" s="2"/>
      <c r="G26" s="2"/>
      <c r="H26" s="2"/>
      <c r="I26" s="2"/>
      <c r="J26" s="2"/>
      <c r="K26" s="2"/>
      <c r="L26" s="2"/>
      <c r="M26" s="2"/>
      <c r="N26" s="2"/>
    </row>
    <row r="27" spans="2:14">
      <c r="B27" s="2"/>
      <c r="C27" s="2"/>
      <c r="D27" s="2"/>
      <c r="E27" s="2"/>
      <c r="F27" s="2"/>
      <c r="G27" s="2"/>
      <c r="H27" s="2"/>
      <c r="I27" s="2"/>
      <c r="J27" s="2"/>
      <c r="K27" s="2"/>
      <c r="L27" s="2"/>
      <c r="M27" s="2"/>
      <c r="N27" s="2"/>
    </row>
    <row r="28" spans="2:14">
      <c r="B28" s="2"/>
      <c r="C28" s="2"/>
      <c r="D28" s="2"/>
      <c r="E28" s="2"/>
      <c r="F28" s="2"/>
      <c r="G28" s="2"/>
      <c r="H28" s="2"/>
      <c r="I28" s="2"/>
      <c r="J28" s="2"/>
      <c r="K28" s="2"/>
      <c r="L28" s="2"/>
      <c r="M28" s="2"/>
      <c r="N28" s="2"/>
    </row>
    <row r="29" spans="2:14">
      <c r="B29" s="2"/>
      <c r="C29" s="2"/>
      <c r="D29" s="2"/>
      <c r="E29" s="2"/>
      <c r="F29" s="2"/>
      <c r="G29" s="2"/>
      <c r="H29" s="2"/>
      <c r="I29" s="2"/>
      <c r="J29" s="2"/>
      <c r="K29" s="2"/>
      <c r="L29" s="2"/>
      <c r="M29" s="2"/>
      <c r="N29" s="2"/>
    </row>
    <row r="30" spans="2:14">
      <c r="B30" s="2"/>
      <c r="C30" s="2"/>
      <c r="D30" s="2"/>
      <c r="E30" s="2"/>
      <c r="F30" s="2"/>
      <c r="G30" s="2"/>
      <c r="H30" s="2"/>
      <c r="I30" s="2"/>
      <c r="J30" s="2"/>
      <c r="K30" s="2"/>
      <c r="L30" s="2"/>
      <c r="M30" s="2"/>
      <c r="N30" s="2"/>
    </row>
    <row r="31" spans="2:14">
      <c r="B31" s="2"/>
      <c r="C31" s="2"/>
      <c r="D31" s="2"/>
      <c r="E31" s="2"/>
      <c r="F31" s="2"/>
      <c r="G31" s="2"/>
      <c r="H31" s="2"/>
      <c r="I31" s="2"/>
      <c r="J31" s="2"/>
      <c r="K31" s="2"/>
      <c r="L31" s="2"/>
      <c r="M31" s="2"/>
      <c r="N31" s="2"/>
    </row>
    <row r="32" spans="2:14">
      <c r="B32" s="2"/>
      <c r="C32" s="2"/>
      <c r="D32" s="2"/>
      <c r="E32" s="2"/>
      <c r="F32" s="2"/>
      <c r="G32" s="2"/>
      <c r="H32" s="2"/>
      <c r="I32" s="2"/>
      <c r="J32" s="2"/>
      <c r="K32" s="2"/>
      <c r="L32" s="2"/>
      <c r="M32" s="2"/>
      <c r="N32" s="2"/>
    </row>
    <row r="33" spans="2:14">
      <c r="B33" s="2"/>
      <c r="C33" s="2"/>
      <c r="D33" s="2"/>
      <c r="E33" s="2"/>
      <c r="F33" s="2"/>
      <c r="G33" s="2"/>
      <c r="H33" s="2"/>
      <c r="I33" s="2"/>
      <c r="J33" s="2"/>
      <c r="K33" s="2"/>
      <c r="L33" s="2"/>
      <c r="M33" s="2"/>
      <c r="N33" s="2"/>
    </row>
    <row r="34" spans="2:14">
      <c r="B34" s="2"/>
      <c r="C34" s="2"/>
      <c r="D34" s="2"/>
      <c r="E34" s="2"/>
      <c r="F34" s="2"/>
      <c r="G34" s="2"/>
      <c r="H34" s="2"/>
      <c r="I34" s="2"/>
      <c r="J34" s="2"/>
      <c r="K34" s="2"/>
      <c r="L34" s="2"/>
      <c r="M34" s="2"/>
      <c r="N34" s="2"/>
    </row>
    <row r="35" spans="2:14">
      <c r="B35" s="2"/>
      <c r="C35" s="2"/>
      <c r="D35" s="2"/>
      <c r="E35" s="2"/>
      <c r="F35" s="2"/>
      <c r="G35" s="2"/>
      <c r="H35" s="2"/>
      <c r="I35" s="2"/>
      <c r="J35" s="2"/>
      <c r="K35" s="2"/>
      <c r="L35" s="2"/>
      <c r="M35" s="2"/>
      <c r="N35" s="2"/>
    </row>
    <row r="36" spans="2:14">
      <c r="B36" s="2"/>
      <c r="C36" s="2"/>
      <c r="D36" s="2"/>
      <c r="E36" s="2"/>
      <c r="F36" s="2"/>
      <c r="G36" s="2"/>
      <c r="H36" s="2"/>
      <c r="I36" s="2"/>
      <c r="J36" s="2"/>
      <c r="K36" s="2"/>
      <c r="L36" s="2"/>
      <c r="M36" s="2"/>
      <c r="N36" s="2"/>
    </row>
    <row r="37" spans="2:14">
      <c r="B37" s="2"/>
      <c r="C37" s="2"/>
      <c r="D37" s="2"/>
      <c r="E37" s="2"/>
      <c r="F37" s="2"/>
      <c r="G37" s="2"/>
      <c r="H37" s="2"/>
      <c r="I37" s="2"/>
      <c r="J37" s="2"/>
      <c r="K37" s="2"/>
      <c r="L37" s="2"/>
      <c r="M37" s="2"/>
      <c r="N37" s="2"/>
    </row>
    <row r="38" spans="2:14">
      <c r="B38" s="2"/>
      <c r="C38" s="2"/>
      <c r="D38" s="2"/>
      <c r="E38" s="2"/>
      <c r="F38" s="2"/>
      <c r="G38" s="2"/>
      <c r="H38" s="2"/>
      <c r="I38" s="2"/>
      <c r="J38" s="2"/>
      <c r="K38" s="2"/>
      <c r="L38" s="2"/>
      <c r="M38" s="2"/>
      <c r="N38" s="2"/>
    </row>
    <row r="39" spans="2:14">
      <c r="B39" s="2"/>
      <c r="C39" s="2"/>
      <c r="D39" s="2"/>
      <c r="E39" s="2"/>
      <c r="F39" s="2"/>
      <c r="G39" s="2"/>
      <c r="H39" s="2"/>
      <c r="I39" s="2"/>
      <c r="J39" s="2"/>
      <c r="K39" s="2"/>
      <c r="L39" s="2"/>
      <c r="M39" s="2"/>
      <c r="N39" s="2"/>
    </row>
    <row r="40" spans="2:14">
      <c r="B40" s="2"/>
      <c r="C40" s="2"/>
      <c r="D40" s="2"/>
      <c r="E40" s="2"/>
      <c r="F40" s="2"/>
      <c r="G40" s="2"/>
      <c r="H40" s="2"/>
      <c r="I40" s="2"/>
      <c r="J40" s="2"/>
      <c r="K40" s="2"/>
      <c r="L40" s="2"/>
      <c r="M40" s="2"/>
      <c r="N40" s="2"/>
    </row>
    <row r="41" spans="2:14">
      <c r="B41" s="2"/>
      <c r="C41" s="2"/>
      <c r="D41" s="2"/>
      <c r="E41" s="2"/>
      <c r="F41" s="2"/>
      <c r="G41" s="2"/>
      <c r="H41" s="2"/>
      <c r="I41" s="2"/>
      <c r="J41" s="2"/>
      <c r="K41" s="2"/>
      <c r="L41" s="2"/>
      <c r="M41" s="2"/>
      <c r="N41" s="2"/>
    </row>
    <row r="42" spans="2:14">
      <c r="B42" s="2"/>
      <c r="C42" s="2"/>
      <c r="D42" s="2"/>
      <c r="E42" s="2"/>
      <c r="F42" s="2"/>
      <c r="G42" s="2"/>
      <c r="H42" s="2"/>
      <c r="I42" s="2"/>
      <c r="J42" s="2"/>
      <c r="K42" s="2"/>
      <c r="L42" s="2"/>
      <c r="M42" s="2"/>
      <c r="N42" s="2"/>
    </row>
    <row r="43" spans="2:14">
      <c r="B43" s="2"/>
      <c r="C43" s="2"/>
      <c r="D43" s="2"/>
      <c r="E43" s="2"/>
      <c r="F43" s="2"/>
      <c r="G43" s="2"/>
      <c r="H43" s="2"/>
      <c r="I43" s="2"/>
      <c r="J43" s="2"/>
      <c r="K43" s="2"/>
      <c r="L43" s="2"/>
      <c r="M43" s="2"/>
      <c r="N43" s="2"/>
    </row>
    <row r="44" spans="2:14">
      <c r="B44" s="2"/>
      <c r="C44" s="2"/>
      <c r="D44" s="2"/>
      <c r="E44" s="2"/>
      <c r="F44" s="2"/>
      <c r="G44" s="2"/>
      <c r="H44" s="2"/>
      <c r="I44" s="2"/>
      <c r="J44" s="2"/>
      <c r="K44" s="2"/>
      <c r="L44" s="2"/>
      <c r="M44" s="2"/>
      <c r="N44" s="2"/>
    </row>
    <row r="45" spans="2:14">
      <c r="B45" s="2"/>
      <c r="C45" s="2"/>
      <c r="D45" s="2"/>
      <c r="E45" s="2"/>
      <c r="F45" s="2"/>
      <c r="G45" s="2"/>
      <c r="H45" s="2"/>
      <c r="I45" s="2"/>
      <c r="J45" s="2"/>
      <c r="K45" s="2"/>
      <c r="L45" s="2"/>
      <c r="M45" s="2"/>
      <c r="N45" s="2"/>
    </row>
    <row r="46" spans="2:14">
      <c r="B46" s="2"/>
      <c r="C46" s="2"/>
      <c r="D46" s="2"/>
      <c r="E46" s="2"/>
      <c r="F46" s="2"/>
      <c r="G46" s="2"/>
      <c r="H46" s="2"/>
      <c r="I46" s="2"/>
      <c r="J46" s="2"/>
      <c r="K46" s="2"/>
      <c r="L46" s="2"/>
      <c r="M46" s="2"/>
      <c r="N46" s="2"/>
    </row>
    <row r="47" spans="2:14">
      <c r="B47" s="2"/>
      <c r="C47" s="2"/>
      <c r="D47" s="2"/>
      <c r="E47" s="2"/>
      <c r="F47" s="2"/>
      <c r="G47" s="2"/>
      <c r="H47" s="2"/>
      <c r="I47" s="2"/>
      <c r="J47" s="2"/>
      <c r="K47" s="2"/>
      <c r="L47" s="2"/>
      <c r="M47" s="2"/>
      <c r="N47" s="2"/>
    </row>
    <row r="48" spans="2:14">
      <c r="B48" s="2"/>
      <c r="C48" s="2"/>
      <c r="D48" s="2"/>
      <c r="E48" s="2"/>
      <c r="F48" s="2"/>
      <c r="G48" s="2"/>
      <c r="H48" s="2"/>
      <c r="I48" s="2"/>
      <c r="J48" s="2"/>
      <c r="K48" s="2"/>
      <c r="L48" s="2"/>
      <c r="M48" s="2"/>
      <c r="N48" s="2"/>
    </row>
    <row r="49" spans="2:14">
      <c r="B49" s="2"/>
      <c r="C49" s="2"/>
      <c r="D49" s="2"/>
      <c r="E49" s="2"/>
      <c r="F49" s="2"/>
      <c r="G49" s="2"/>
      <c r="H49" s="2"/>
      <c r="I49" s="2"/>
      <c r="J49" s="2"/>
      <c r="K49" s="2"/>
      <c r="L49" s="2"/>
      <c r="M49" s="2"/>
      <c r="N49" s="2"/>
    </row>
    <row r="50" spans="2:14">
      <c r="B50" s="2"/>
      <c r="C50" s="2"/>
      <c r="D50" s="2"/>
      <c r="E50" s="2"/>
      <c r="F50" s="2"/>
      <c r="G50" s="2"/>
      <c r="H50" s="2"/>
      <c r="I50" s="2"/>
      <c r="J50" s="2"/>
      <c r="K50" s="2"/>
      <c r="L50" s="2"/>
      <c r="M50" s="2"/>
      <c r="N50" s="2"/>
    </row>
    <row r="51" spans="2:14">
      <c r="B51" s="2"/>
      <c r="C51" s="2"/>
      <c r="D51" s="2"/>
      <c r="E51" s="2"/>
      <c r="F51" s="2"/>
      <c r="G51" s="2"/>
      <c r="H51" s="2"/>
      <c r="I51" s="2"/>
      <c r="J51" s="2"/>
      <c r="K51" s="2"/>
      <c r="L51" s="2"/>
      <c r="M51" s="2"/>
      <c r="N51" s="2"/>
    </row>
    <row r="52" spans="2:14">
      <c r="B52" s="2"/>
      <c r="C52" s="2"/>
      <c r="D52" s="2"/>
      <c r="E52" s="2"/>
      <c r="F52" s="2"/>
      <c r="G52" s="2"/>
      <c r="H52" s="2"/>
      <c r="I52" s="2"/>
      <c r="J52" s="2"/>
      <c r="K52" s="2"/>
      <c r="L52" s="2"/>
      <c r="M52" s="2"/>
      <c r="N52" s="2"/>
    </row>
    <row r="53" spans="2:14">
      <c r="B53" s="2"/>
      <c r="C53" s="2"/>
      <c r="D53" s="2"/>
      <c r="E53" s="2"/>
      <c r="F53" s="2"/>
      <c r="G53" s="2"/>
      <c r="H53" s="2"/>
      <c r="I53" s="2"/>
      <c r="J53" s="2"/>
      <c r="K53" s="2"/>
      <c r="L53" s="2"/>
      <c r="M53" s="2"/>
      <c r="N53" s="2"/>
    </row>
    <row r="54" spans="2:14">
      <c r="B54" s="2"/>
      <c r="C54" s="2"/>
      <c r="D54" s="2"/>
      <c r="E54" s="2"/>
      <c r="F54" s="2"/>
      <c r="G54" s="2"/>
      <c r="H54" s="2"/>
      <c r="I54" s="2"/>
      <c r="J54" s="2"/>
      <c r="K54" s="2"/>
      <c r="L54" s="2"/>
      <c r="M54" s="2"/>
      <c r="N54" s="2"/>
    </row>
    <row r="55" spans="2:14">
      <c r="B55" s="2"/>
      <c r="C55" s="2"/>
      <c r="D55" s="2"/>
      <c r="E55" s="2"/>
      <c r="F55" s="2"/>
      <c r="G55" s="2"/>
      <c r="H55" s="2"/>
      <c r="I55" s="2"/>
      <c r="J55" s="2"/>
      <c r="K55" s="2"/>
      <c r="L55" s="2"/>
      <c r="M55" s="2"/>
      <c r="N55" s="2"/>
    </row>
    <row r="56" spans="2:14">
      <c r="B56" s="2"/>
      <c r="C56" s="2"/>
      <c r="D56" s="2"/>
      <c r="E56" s="2"/>
      <c r="F56" s="2"/>
      <c r="G56" s="2"/>
      <c r="H56" s="2"/>
      <c r="I56" s="2"/>
      <c r="J56" s="2"/>
      <c r="K56" s="2"/>
      <c r="L56" s="2"/>
      <c r="M56" s="2"/>
      <c r="N56" s="2"/>
    </row>
    <row r="57" spans="2:14">
      <c r="B57" s="2"/>
      <c r="C57" s="2"/>
      <c r="D57" s="2"/>
      <c r="E57" s="2"/>
      <c r="F57" s="2"/>
      <c r="G57" s="2"/>
      <c r="H57" s="2"/>
      <c r="I57" s="2"/>
      <c r="J57" s="2"/>
      <c r="K57" s="2"/>
      <c r="L57" s="2"/>
      <c r="M57" s="2"/>
      <c r="N57" s="2"/>
    </row>
    <row r="58" spans="2:14">
      <c r="B58" s="2"/>
      <c r="C58" s="2"/>
      <c r="D58" s="2"/>
      <c r="E58" s="2"/>
      <c r="F58" s="2"/>
      <c r="G58" s="2"/>
      <c r="H58" s="2"/>
      <c r="I58" s="2"/>
      <c r="J58" s="2"/>
      <c r="K58" s="2"/>
      <c r="L58" s="2"/>
      <c r="M58" s="2"/>
      <c r="N58" s="2"/>
    </row>
    <row r="59" spans="2:14">
      <c r="B59" s="2"/>
      <c r="C59" s="2"/>
      <c r="D59" s="2"/>
      <c r="E59" s="2"/>
      <c r="F59" s="2"/>
      <c r="G59" s="2"/>
      <c r="H59" s="2"/>
      <c r="I59" s="2"/>
      <c r="J59" s="2"/>
      <c r="K59" s="2"/>
      <c r="L59" s="2"/>
      <c r="M59" s="2"/>
      <c r="N59" s="2"/>
    </row>
    <row r="60" spans="2:14">
      <c r="B60" s="2"/>
      <c r="C60" s="2"/>
      <c r="D60" s="2"/>
      <c r="E60" s="2"/>
      <c r="F60" s="2"/>
      <c r="G60" s="2"/>
      <c r="H60" s="2"/>
      <c r="I60" s="2"/>
      <c r="J60" s="2"/>
      <c r="K60" s="2"/>
      <c r="L60" s="2"/>
      <c r="M60" s="2"/>
      <c r="N60" s="2"/>
    </row>
    <row r="61" spans="2:14">
      <c r="B61" s="2"/>
      <c r="C61" s="2"/>
      <c r="D61" s="2"/>
      <c r="E61" s="2"/>
      <c r="F61" s="2"/>
      <c r="G61" s="2"/>
      <c r="H61" s="2"/>
      <c r="I61" s="2"/>
      <c r="J61" s="2"/>
      <c r="K61" s="2"/>
      <c r="L61" s="2"/>
      <c r="M61" s="2"/>
      <c r="N61" s="2"/>
    </row>
    <row r="62" spans="2:14">
      <c r="B62" s="2"/>
      <c r="C62" s="2"/>
      <c r="D62" s="2"/>
      <c r="E62" s="2"/>
      <c r="F62" s="2"/>
      <c r="G62" s="2"/>
      <c r="H62" s="2"/>
      <c r="I62" s="2"/>
      <c r="J62" s="2"/>
      <c r="K62" s="2"/>
      <c r="L62" s="2"/>
      <c r="M62" s="2"/>
      <c r="N62" s="2"/>
    </row>
    <row r="63" spans="2:14">
      <c r="B63" s="2"/>
      <c r="C63" s="2"/>
      <c r="D63" s="2"/>
      <c r="E63" s="2"/>
      <c r="F63" s="2"/>
      <c r="G63" s="2"/>
      <c r="H63" s="2"/>
      <c r="I63" s="2"/>
      <c r="J63" s="2"/>
      <c r="K63" s="2"/>
      <c r="L63" s="2"/>
      <c r="M63" s="2"/>
      <c r="N63" s="2"/>
    </row>
    <row r="64" spans="2:14">
      <c r="B64" s="2"/>
      <c r="C64" s="2"/>
      <c r="D64" s="2"/>
      <c r="E64" s="2"/>
      <c r="F64" s="2"/>
      <c r="G64" s="2"/>
      <c r="H64" s="2"/>
      <c r="I64" s="2"/>
      <c r="J64" s="2"/>
      <c r="K64" s="2"/>
      <c r="L64" s="2"/>
      <c r="M64" s="2"/>
      <c r="N64" s="2"/>
    </row>
    <row r="65" spans="2:14">
      <c r="B65" s="2"/>
      <c r="C65" s="2"/>
      <c r="D65" s="2"/>
      <c r="E65" s="2"/>
      <c r="F65" s="2"/>
      <c r="G65" s="2"/>
      <c r="H65" s="2"/>
      <c r="I65" s="2"/>
      <c r="J65" s="2"/>
      <c r="K65" s="2"/>
      <c r="L65" s="2"/>
      <c r="M65" s="2"/>
      <c r="N65" s="2"/>
    </row>
    <row r="66" spans="2:14">
      <c r="B66" s="2"/>
      <c r="C66" s="2"/>
      <c r="D66" s="2"/>
      <c r="E66" s="2"/>
      <c r="F66" s="2"/>
      <c r="G66" s="2"/>
      <c r="H66" s="2"/>
      <c r="I66" s="2"/>
      <c r="J66" s="2"/>
      <c r="K66" s="2"/>
      <c r="L66" s="2"/>
      <c r="M66" s="2"/>
      <c r="N66" s="2"/>
    </row>
    <row r="67" spans="2:14">
      <c r="B67" s="2"/>
      <c r="C67" s="2"/>
      <c r="D67" s="2"/>
      <c r="E67" s="2"/>
      <c r="F67" s="2"/>
      <c r="G67" s="2"/>
      <c r="H67" s="2"/>
      <c r="I67" s="2"/>
      <c r="J67" s="2"/>
      <c r="K67" s="2"/>
      <c r="L67" s="2"/>
      <c r="M67" s="2"/>
      <c r="N67" s="2"/>
    </row>
    <row r="68" spans="2:14">
      <c r="B68" s="2"/>
      <c r="C68" s="2"/>
      <c r="D68" s="2"/>
      <c r="E68" s="2"/>
      <c r="F68" s="2"/>
      <c r="G68" s="2"/>
      <c r="H68" s="2"/>
      <c r="I68" s="2"/>
      <c r="J68" s="2"/>
      <c r="K68" s="2"/>
      <c r="L68" s="2"/>
      <c r="M68" s="2"/>
      <c r="N68" s="2"/>
    </row>
    <row r="69" spans="2:14">
      <c r="B69" s="2"/>
      <c r="C69" s="2"/>
      <c r="D69" s="2"/>
      <c r="E69" s="2"/>
      <c r="F69" s="2"/>
      <c r="G69" s="2"/>
      <c r="H69" s="2"/>
      <c r="I69" s="2"/>
      <c r="J69" s="2"/>
      <c r="K69" s="2"/>
      <c r="L69" s="2"/>
      <c r="M69" s="2"/>
      <c r="N69" s="2"/>
    </row>
    <row r="70" spans="2:14">
      <c r="B70" s="2"/>
      <c r="C70" s="2"/>
      <c r="D70" s="2"/>
      <c r="E70" s="2"/>
      <c r="F70" s="2"/>
      <c r="G70" s="2"/>
      <c r="H70" s="2"/>
      <c r="I70" s="2"/>
      <c r="J70" s="2"/>
      <c r="K70" s="2"/>
      <c r="L70" s="2"/>
      <c r="M70" s="2"/>
      <c r="N70" s="2"/>
    </row>
    <row r="71" spans="2:14">
      <c r="B71" s="2"/>
      <c r="C71" s="2"/>
      <c r="D71" s="2"/>
      <c r="E71" s="2"/>
      <c r="F71" s="2"/>
      <c r="G71" s="2"/>
      <c r="H71" s="2"/>
      <c r="I71" s="2"/>
      <c r="J71" s="2"/>
      <c r="K71" s="2"/>
      <c r="L71" s="2"/>
      <c r="M71" s="2"/>
      <c r="N71" s="2"/>
    </row>
    <row r="72" spans="2:14">
      <c r="B72" s="2"/>
      <c r="C72" s="2"/>
      <c r="D72" s="2"/>
      <c r="E72" s="2"/>
      <c r="F72" s="2"/>
      <c r="G72" s="2"/>
      <c r="H72" s="2"/>
      <c r="I72" s="2"/>
      <c r="J72" s="2"/>
      <c r="K72" s="2"/>
      <c r="L72" s="2"/>
      <c r="M72" s="2"/>
      <c r="N72" s="2"/>
    </row>
    <row r="73" spans="2:14">
      <c r="B73" s="2"/>
      <c r="C73" s="2"/>
      <c r="D73" s="2"/>
      <c r="E73" s="2"/>
      <c r="F73" s="2"/>
      <c r="G73" s="2"/>
      <c r="H73" s="2"/>
      <c r="I73" s="2"/>
      <c r="J73" s="2"/>
      <c r="K73" s="2"/>
      <c r="L73" s="2"/>
      <c r="M73" s="2"/>
      <c r="N73" s="2"/>
    </row>
    <row r="74" spans="2:14">
      <c r="B74" s="2"/>
      <c r="C74" s="2"/>
      <c r="D74" s="2"/>
      <c r="E74" s="2"/>
      <c r="F74" s="2"/>
      <c r="G74" s="2"/>
      <c r="H74" s="2"/>
      <c r="I74" s="2"/>
      <c r="J74" s="2"/>
      <c r="K74" s="2"/>
      <c r="L74" s="2"/>
      <c r="M74" s="2"/>
      <c r="N74" s="2"/>
    </row>
    <row r="75" spans="2:14">
      <c r="B75" s="2"/>
      <c r="C75" s="2"/>
      <c r="D75" s="2"/>
      <c r="E75" s="2"/>
      <c r="F75" s="2"/>
      <c r="G75" s="2"/>
      <c r="H75" s="2"/>
      <c r="I75" s="2"/>
      <c r="J75" s="2"/>
      <c r="K75" s="2"/>
      <c r="L75" s="2"/>
      <c r="M75" s="2"/>
      <c r="N75" s="2"/>
    </row>
    <row r="76" spans="2:14">
      <c r="B76" s="2"/>
      <c r="C76" s="2"/>
      <c r="D76" s="2"/>
      <c r="E76" s="2"/>
      <c r="F76" s="2"/>
      <c r="G76" s="2"/>
      <c r="H76" s="2"/>
      <c r="I76" s="2"/>
      <c r="J76" s="2"/>
      <c r="K76" s="2"/>
      <c r="L76" s="2"/>
      <c r="M76" s="2"/>
      <c r="N76" s="2"/>
    </row>
    <row r="77" spans="2:14">
      <c r="B77" s="2"/>
      <c r="C77" s="2"/>
      <c r="D77" s="2"/>
      <c r="E77" s="2"/>
      <c r="F77" s="2"/>
      <c r="G77" s="2"/>
      <c r="H77" s="2"/>
      <c r="I77" s="2"/>
      <c r="J77" s="2"/>
      <c r="K77" s="2"/>
      <c r="L77" s="2"/>
      <c r="M77" s="2"/>
      <c r="N77" s="2"/>
    </row>
    <row r="78" spans="2:14">
      <c r="B78" s="2"/>
      <c r="C78" s="2"/>
      <c r="D78" s="2"/>
      <c r="E78" s="2"/>
      <c r="F78" s="2"/>
      <c r="G78" s="2"/>
      <c r="H78" s="2"/>
      <c r="I78" s="2"/>
      <c r="J78" s="2"/>
      <c r="K78" s="2"/>
      <c r="L78" s="2"/>
      <c r="M78" s="2"/>
      <c r="N78" s="2"/>
    </row>
    <row r="79" spans="2:14">
      <c r="B79" s="2"/>
      <c r="C79" s="2"/>
      <c r="D79" s="2"/>
      <c r="E79" s="2"/>
      <c r="F79" s="2"/>
      <c r="G79" s="2"/>
      <c r="H79" s="2"/>
      <c r="I79" s="2"/>
      <c r="J79" s="2"/>
      <c r="K79" s="2"/>
      <c r="L79" s="2"/>
      <c r="M79" s="2"/>
      <c r="N79" s="2"/>
    </row>
    <row r="80" spans="2:14">
      <c r="B80" s="2"/>
      <c r="C80" s="2"/>
      <c r="D80" s="2"/>
      <c r="E80" s="2"/>
      <c r="F80" s="2"/>
      <c r="G80" s="2"/>
      <c r="H80" s="2"/>
      <c r="I80" s="2"/>
      <c r="J80" s="2"/>
      <c r="K80" s="2"/>
      <c r="L80" s="2"/>
      <c r="M80" s="2"/>
      <c r="N80" s="2"/>
    </row>
    <row r="81" spans="2:14">
      <c r="B81" s="2"/>
      <c r="C81" s="2"/>
      <c r="D81" s="2"/>
      <c r="E81" s="2"/>
      <c r="F81" s="2"/>
      <c r="G81" s="2"/>
      <c r="H81" s="2"/>
      <c r="I81" s="2"/>
      <c r="J81" s="2"/>
      <c r="K81" s="2"/>
      <c r="L81" s="2"/>
      <c r="M81" s="2"/>
      <c r="N81" s="2"/>
    </row>
    <row r="82" spans="2:14">
      <c r="B82" s="2"/>
      <c r="C82" s="2"/>
      <c r="D82" s="2"/>
      <c r="E82" s="2"/>
      <c r="F82" s="2"/>
      <c r="G82" s="2"/>
      <c r="H82" s="2"/>
      <c r="I82" s="2"/>
      <c r="J82" s="2"/>
      <c r="K82" s="2"/>
      <c r="L82" s="2"/>
      <c r="M82" s="2"/>
      <c r="N82" s="2"/>
    </row>
    <row r="83" spans="2:14">
      <c r="B83" s="2"/>
      <c r="C83" s="2"/>
      <c r="D83" s="2"/>
      <c r="E83" s="2"/>
      <c r="F83" s="2"/>
      <c r="G83" s="2"/>
      <c r="H83" s="2"/>
      <c r="I83" s="2"/>
      <c r="J83" s="2"/>
      <c r="K83" s="2"/>
      <c r="L83" s="2"/>
      <c r="M83" s="2"/>
      <c r="N83" s="2"/>
    </row>
    <row r="84" spans="2:14">
      <c r="B84" s="2"/>
      <c r="C84" s="2"/>
      <c r="D84" s="2"/>
      <c r="E84" s="2"/>
      <c r="F84" s="2"/>
      <c r="G84" s="2"/>
      <c r="H84" s="2"/>
      <c r="I84" s="2"/>
      <c r="J84" s="2"/>
      <c r="K84" s="2"/>
      <c r="L84" s="2"/>
      <c r="M84" s="2"/>
      <c r="N84" s="2"/>
    </row>
    <row r="85" spans="2:14">
      <c r="B85" s="2"/>
      <c r="C85" s="2"/>
      <c r="D85" s="2"/>
      <c r="E85" s="2"/>
      <c r="F85" s="2"/>
      <c r="G85" s="2"/>
      <c r="H85" s="2"/>
      <c r="I85" s="2"/>
      <c r="J85" s="2"/>
      <c r="K85" s="2"/>
      <c r="L85" s="2"/>
      <c r="M85" s="2"/>
      <c r="N85" s="2"/>
    </row>
    <row r="86" spans="2:14">
      <c r="B86" s="2"/>
      <c r="C86" s="2"/>
      <c r="D86" s="2"/>
      <c r="E86" s="2"/>
      <c r="F86" s="2"/>
      <c r="G86" s="2"/>
      <c r="H86" s="2"/>
      <c r="I86" s="2"/>
      <c r="J86" s="2"/>
      <c r="K86" s="2"/>
      <c r="L86" s="2"/>
      <c r="M86" s="2"/>
      <c r="N86" s="2"/>
    </row>
    <row r="87" spans="2:14">
      <c r="B87" s="2"/>
      <c r="C87" s="2"/>
      <c r="D87" s="2"/>
      <c r="E87" s="2"/>
      <c r="F87" s="2"/>
      <c r="G87" s="2"/>
      <c r="H87" s="2"/>
      <c r="I87" s="2"/>
      <c r="J87" s="2"/>
      <c r="K87" s="2"/>
      <c r="L87" s="2"/>
      <c r="M87" s="2"/>
      <c r="N87" s="2"/>
    </row>
    <row r="88" spans="2:14">
      <c r="B88" s="2"/>
      <c r="C88" s="2"/>
      <c r="D88" s="2"/>
      <c r="E88" s="2"/>
      <c r="F88" s="2"/>
      <c r="G88" s="2"/>
      <c r="H88" s="2"/>
      <c r="I88" s="2"/>
      <c r="J88" s="2"/>
      <c r="K88" s="2"/>
      <c r="L88" s="2"/>
      <c r="M88" s="2"/>
      <c r="N88" s="2"/>
    </row>
    <row r="89" spans="2:14">
      <c r="B89" s="2"/>
      <c r="C89" s="2"/>
      <c r="D89" s="2"/>
      <c r="E89" s="2"/>
      <c r="F89" s="2"/>
      <c r="G89" s="2"/>
      <c r="H89" s="2"/>
      <c r="I89" s="2"/>
      <c r="J89" s="2"/>
      <c r="K89" s="2"/>
      <c r="L89" s="2"/>
      <c r="M89" s="2"/>
      <c r="N89" s="2"/>
    </row>
    <row r="90" spans="2:14">
      <c r="B90" s="2"/>
      <c r="C90" s="2"/>
      <c r="D90" s="2"/>
      <c r="E90" s="2"/>
      <c r="F90" s="2"/>
      <c r="G90" s="2"/>
      <c r="H90" s="2"/>
      <c r="I90" s="2"/>
      <c r="J90" s="2"/>
      <c r="K90" s="2"/>
      <c r="L90" s="2"/>
      <c r="M90" s="2"/>
      <c r="N90" s="2"/>
    </row>
    <row r="91" spans="2:14">
      <c r="B91" s="2"/>
      <c r="C91" s="2"/>
      <c r="D91" s="2"/>
      <c r="E91" s="2"/>
      <c r="F91" s="2"/>
      <c r="G91" s="2"/>
      <c r="H91" s="2"/>
      <c r="I91" s="2"/>
      <c r="J91" s="2"/>
      <c r="K91" s="2"/>
      <c r="L91" s="2"/>
      <c r="M91" s="2"/>
      <c r="N91" s="2"/>
    </row>
    <row r="92" spans="2:14">
      <c r="B92" s="2"/>
      <c r="C92" s="2"/>
      <c r="D92" s="2"/>
      <c r="E92" s="2"/>
      <c r="F92" s="2"/>
      <c r="G92" s="2"/>
      <c r="H92" s="2"/>
      <c r="I92" s="2"/>
      <c r="J92" s="2"/>
      <c r="K92" s="2"/>
      <c r="L92" s="2"/>
      <c r="M92" s="2"/>
      <c r="N92" s="2"/>
    </row>
    <row r="93" spans="2:14">
      <c r="B93" s="2"/>
      <c r="C93" s="2"/>
      <c r="D93" s="2"/>
      <c r="E93" s="2"/>
      <c r="F93" s="2"/>
      <c r="G93" s="2"/>
      <c r="H93" s="2"/>
      <c r="I93" s="2"/>
      <c r="J93" s="2"/>
      <c r="K93" s="2"/>
      <c r="L93" s="2"/>
      <c r="M93" s="2"/>
      <c r="N93" s="2"/>
    </row>
    <row r="94" spans="2:14">
      <c r="B94" s="2"/>
      <c r="C94" s="2"/>
      <c r="D94" s="2"/>
      <c r="E94" s="2"/>
      <c r="F94" s="2"/>
      <c r="G94" s="2"/>
      <c r="H94" s="2"/>
      <c r="I94" s="2"/>
      <c r="J94" s="2"/>
      <c r="K94" s="2"/>
      <c r="L94" s="2"/>
      <c r="M94" s="2"/>
      <c r="N94" s="2"/>
    </row>
    <row r="95" spans="2:14">
      <c r="B95" s="2"/>
      <c r="C95" s="2"/>
      <c r="D95" s="2"/>
      <c r="E95" s="2"/>
      <c r="F95" s="2"/>
      <c r="G95" s="2"/>
      <c r="H95" s="2"/>
      <c r="I95" s="2"/>
      <c r="J95" s="2"/>
      <c r="K95" s="2"/>
      <c r="L95" s="2"/>
      <c r="M95" s="2"/>
      <c r="N95" s="2"/>
    </row>
    <row r="96" spans="2:14">
      <c r="B96" s="2"/>
      <c r="C96" s="2"/>
      <c r="D96" s="2"/>
      <c r="E96" s="2"/>
      <c r="F96" s="2"/>
      <c r="G96" s="2"/>
      <c r="H96" s="2"/>
      <c r="I96" s="2"/>
      <c r="J96" s="2"/>
      <c r="K96" s="2"/>
      <c r="L96" s="2"/>
      <c r="M96" s="2"/>
      <c r="N96" s="2"/>
    </row>
  </sheetData>
  <mergeCells count="1">
    <mergeCell ref="B16:N16"/>
  </mergeCells>
  <pageMargins left="0.7" right="0.7" top="0.75" bottom="0.75" header="0.3" footer="0.3"/>
  <headerFooter>
    <oddHeader>&amp;L&amp;"Aptos"&amp;10&amp;K000000 INTERNAL&amp;1#_x000D_</oddHeader>
  </headerFooter>
  <drawing r:id="rId1"/>
</worksheet>
</file>

<file path=customXml/_rels/item1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1.xml"/></Relationships>
</file>

<file path=customXml/_rels/item2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2.xml"/></Relationships>
</file>

<file path=customXml/_rels/item3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3.xml"/></Relationships>
</file>

<file path=customXml/item1.xml><?xml version="1.0" encoding="utf-8"?>
<p:properties xmlns:p="http://schemas.microsoft.com/office/2006/metadata/properties" xmlns:xsi="http://www.w3.org/2001/XMLSchema-instance" xmlns:pc="http://schemas.microsoft.com/office/infopath/2007/PartnerControls">
  <documentManagement>
    <TranslatedLang xmlns="c8e751d2-3d37-4167-80fa-a7ac4017bdce" xsi:nil="true"/>
  </documentManagement>
</p:properties>
</file>

<file path=customXml/item2.xml><?xml version="1.0" encoding="utf-8"?>
<?mso-contentType ?>
<FormTemplates xmlns="http://schemas.microsoft.com/sharepoint/v3/contenttype/forms">
  <Display>DocumentLibraryForm</Display>
  <Edit>DocumentLibraryForm</Edit>
  <New>DocumentLibraryForm</New>
</FormTemplates>
</file>

<file path=customXml/item3.xml><?xml version="1.0" encoding="utf-8"?>
<ct:contentTypeSchema xmlns:ct="http://schemas.microsoft.com/office/2006/metadata/contentType" xmlns:ma="http://schemas.microsoft.com/office/2006/metadata/properties/metaAttributes" ct:_="" ma:_="" ma:contentTypeName="Document" ma:contentTypeID="0x010100E67A066FCD1E3F438488297A6C42CAF9" ma:contentTypeVersion="4" ma:contentTypeDescription="Crée un document." ma:contentTypeScope="" ma:versionID="18f0f9b597039d9e780f83a3fa476528">
  <xsd:schema xmlns:xsd="http://www.w3.org/2001/XMLSchema" xmlns:xs="http://www.w3.org/2001/XMLSchema" xmlns:p="http://schemas.microsoft.com/office/2006/metadata/properties" xmlns:ns2="c8e751d2-3d37-4167-80fa-a7ac4017bdce" targetNamespace="http://schemas.microsoft.com/office/2006/metadata/properties" ma:root="true" ma:fieldsID="a27a98dd884412d2ea335885e9b91a1f" ns2:_="">
    <xsd:import namespace="c8e751d2-3d37-4167-80fa-a7ac4017bdce"/>
    <xsd:element name="properties">
      <xsd:complexType>
        <xsd:sequence>
          <xsd:element name="documentManagement">
            <xsd:complexType>
              <xsd:all>
                <xsd:element ref="ns2:MediaServiceMetadata" minOccurs="0"/>
                <xsd:element ref="ns2:MediaServiceFastMetadata" minOccurs="0"/>
                <xsd:element ref="ns2:MediaServiceSearchProperties" minOccurs="0"/>
                <xsd:element ref="ns2:TranslatedLang" minOccurs="0"/>
              </xsd:all>
            </xsd:complexType>
          </xsd:element>
        </xsd:sequence>
      </xsd:complexType>
    </xsd:element>
  </xsd:schema>
  <xsd:schema xmlns:xsd="http://www.w3.org/2001/XMLSchema" xmlns:xs="http://www.w3.org/2001/XMLSchema" xmlns:dms="http://schemas.microsoft.com/office/2006/documentManagement/types" xmlns:pc="http://schemas.microsoft.com/office/infopath/2007/PartnerControls" targetNamespace="c8e751d2-3d37-4167-80fa-a7ac4017bdce" elementFormDefault="qualified">
    <xsd:import namespace="http://schemas.microsoft.com/office/2006/documentManagement/types"/>
    <xsd:import namespace="http://schemas.microsoft.com/office/infopath/2007/PartnerControls"/>
    <xsd:element name="MediaServiceMetadata" ma:index="8" nillable="true" ma:displayName="MediaServiceMetadata" ma:hidden="true" ma:internalName="MediaServiceMetadata" ma:readOnly="true">
      <xsd:simpleType>
        <xsd:restriction base="dms:Note"/>
      </xsd:simpleType>
    </xsd:element>
    <xsd:element name="MediaServiceFastMetadata" ma:index="9" nillable="true" ma:displayName="MediaServiceFastMetadata" ma:hidden="true" ma:internalName="MediaServiceFastMetadata" ma:readOnly="true">
      <xsd:simpleType>
        <xsd:restriction base="dms:Note"/>
      </xsd:simpleType>
    </xsd:element>
    <xsd:element name="MediaServiceSearchProperties" ma:index="10" nillable="true" ma:displayName="MediaServiceSearchProperties" ma:hidden="true" ma:internalName="MediaServiceSearchProperties" ma:readOnly="true">
      <xsd:simpleType>
        <xsd:restriction base="dms:Note"/>
      </xsd:simpleType>
    </xsd:element>
    <xsd:element name="TranslatedLang" ma:index="11" nillable="true" ma:displayName="Translated Language" ma:internalName="TranslatedLang">
      <xsd:simpleType>
        <xsd:restriction base="dms:Text"/>
      </xsd:simpleType>
    </xsd:element>
  </xsd:schema>
  <xsd:schema xmlns="http://schemas.openxmlformats.org/package/2006/metadata/core-properties" xmlns:xsd="http://www.w3.org/2001/XMLSchema" xmlns:xsi="http://www.w3.org/2001/XMLSchema-instance" xmlns:dc="http://purl.org/dc/elements/1.1/" xmlns:dcterms="http://purl.org/dc/terms/" xmlns:odoc="http://schemas.microsoft.com/internal/obd" targetNamespace="http://schemas.openxmlformats.org/package/2006/metadata/core-properties" elementFormDefault="qualified" attributeFormDefault="unqualified" blockDefault="#all">
    <xsd:import namespace="http://purl.org/dc/elements/1.1/" schemaLocation="http://dublincore.org/schemas/xmls/qdc/2003/04/02/dc.xsd"/>
    <xsd:import namespace="http://purl.org/dc/terms/" schemaLocation="http://dublincore.org/schemas/xmls/qdc/2003/04/02/dcterms.xsd"/>
    <xsd:element name="coreProperties" type="CT_coreProperties"/>
    <xsd:complexType name="CT_coreProperties">
      <xsd:all>
        <xsd:element ref="dc:creator" minOccurs="0" maxOccurs="1"/>
        <xsd:element ref="dcterms:created" minOccurs="0" maxOccurs="1"/>
        <xsd:element ref="dc:identifier" minOccurs="0" maxOccurs="1"/>
        <xsd:element name="contentType" minOccurs="0" maxOccurs="1" type="xsd:string" ma:index="0" ma:displayName="Type de contenu"/>
        <xsd:element ref="dc:title" minOccurs="0" maxOccurs="1" ma:index="4" ma:displayName="Titre"/>
        <xsd:element ref="dc:subject" minOccurs="0" maxOccurs="1"/>
        <xsd:element ref="dc:description" minOccurs="0" maxOccurs="1"/>
        <xsd:element name="keywords" minOccurs="0" maxOccurs="1" type="xsd:string"/>
        <xsd:element ref="dc:language" minOccurs="0" maxOccurs="1"/>
        <xsd:element name="category" minOccurs="0" maxOccurs="1" type="xsd:string"/>
        <xsd:element name="version" minOccurs="0" maxOccurs="1" type="xsd:string"/>
        <xsd:element name="revision" minOccurs="0" maxOccurs="1" type="xsd:string">
          <xsd:annotation>
            <xsd:documentation>
                        This value indicates the number of saves or revisions. The application is responsible for updating this value after each revision.
                    </xsd:documentation>
          </xsd:annotation>
        </xsd:element>
        <xsd:element name="lastModifiedBy" minOccurs="0" maxOccurs="1" type="xsd:string"/>
        <xsd:element ref="dcterms:modified" minOccurs="0" maxOccurs="1"/>
        <xsd:element name="contentStatus" minOccurs="0" maxOccurs="1" type="xsd:string"/>
      </xsd:all>
    </xsd:complexType>
  </xsd:schema>
  <xs:schema xmlns:pc="http://schemas.microsoft.com/office/infopath/2007/PartnerControls" xmlns:xs="http://www.w3.org/2001/XMLSchema" targetNamespace="http://schemas.microsoft.com/office/infopath/2007/PartnerControls" elementFormDefault="qualified" attributeFormDefault="unqualified">
    <xs:element name="Person">
      <xs:complexType>
        <xs:sequence>
          <xs:element ref="pc:DisplayName" minOccurs="0"/>
          <xs:element ref="pc:AccountId" minOccurs="0"/>
          <xs:element ref="pc:AccountType" minOccurs="0"/>
        </xs:sequence>
      </xs:complexType>
    </xs:element>
    <xs:element name="DisplayName" type="xs:string"/>
    <xs:element name="AccountId" type="xs:string"/>
    <xs:element name="AccountType" type="xs:string"/>
    <xs:element name="BDCAssociatedEntity">
      <xs:complexType>
        <xs:sequence>
          <xs:element ref="pc:BDCEntity" minOccurs="0" maxOccurs="unbounded"/>
        </xs:sequence>
        <xs:attribute ref="pc:EntityNamespace"/>
        <xs:attribute ref="pc:EntityName"/>
        <xs:attribute ref="pc:SystemInstanceName"/>
        <xs:attribute ref="pc:AssociationName"/>
      </xs:complexType>
    </xs:element>
    <xs:attribute name="EntityNamespace" type="xs:string"/>
    <xs:attribute name="EntityName" type="xs:string"/>
    <xs:attribute name="SystemInstanceName" type="xs:string"/>
    <xs:attribute name="AssociationName" type="xs:string"/>
    <xs:element name="BDCEntity">
      <xs:complexType>
        <xs:sequence>
          <xs:element ref="pc:EntityDisplayName" minOccurs="0"/>
          <xs:element ref="pc:EntityInstanceReference" minOccurs="0"/>
          <xs:element ref="pc:EntityId1" minOccurs="0"/>
          <xs:element ref="pc:EntityId2" minOccurs="0"/>
          <xs:element ref="pc:EntityId3" minOccurs="0"/>
          <xs:element ref="pc:EntityId4" minOccurs="0"/>
          <xs:element ref="pc:EntityId5" minOccurs="0"/>
        </xs:sequence>
      </xs:complexType>
    </xs:element>
    <xs:element name="EntityDisplayName" type="xs:string"/>
    <xs:element name="EntityInstanceReference" type="xs:string"/>
    <xs:element name="EntityId1" type="xs:string"/>
    <xs:element name="EntityId2" type="xs:string"/>
    <xs:element name="EntityId3" type="xs:string"/>
    <xs:element name="EntityId4" type="xs:string"/>
    <xs:element name="EntityId5" type="xs:string"/>
    <xs:element name="Terms">
      <xs:complexType>
        <xs:sequence>
          <xs:element ref="pc:TermInfo" minOccurs="0" maxOccurs="unbounded"/>
        </xs:sequence>
      </xs:complexType>
    </xs:element>
    <xs:element name="TermInfo">
      <xs:complexType>
        <xs:sequence>
          <xs:element ref="pc:TermName" minOccurs="0"/>
          <xs:element ref="pc:TermId" minOccurs="0"/>
        </xs:sequence>
      </xs:complexType>
    </xs:element>
    <xs:element name="TermName" type="xs:string"/>
    <xs:element name="TermId" type="xs:string"/>
  </xs:schema>
</ct:contentTypeSchema>
</file>

<file path=customXml/itemProps1.xml><?xml version="1.0" encoding="utf-8"?>
<ds:datastoreItem xmlns:ds="http://schemas.openxmlformats.org/officeDocument/2006/customXml" ds:itemID="{4344C341-AD09-48CF-A9D3-1481B5BEA8A2}">
  <ds:schemaRefs>
    <ds:schemaRef ds:uri="http://schemas.microsoft.com/office/2006/metadata/properties"/>
    <ds:schemaRef ds:uri="http://schemas.microsoft.com/office/infopath/2007/PartnerControls"/>
    <ds:schemaRef ds:uri="c8e751d2-3d37-4167-80fa-a7ac4017bdce"/>
  </ds:schemaRefs>
</ds:datastoreItem>
</file>

<file path=customXml/itemProps2.xml><?xml version="1.0" encoding="utf-8"?>
<ds:datastoreItem xmlns:ds="http://schemas.openxmlformats.org/officeDocument/2006/customXml" ds:itemID="{D5EFFB68-C21E-4BD7-B2CB-20E039E408F5}">
  <ds:schemaRefs>
    <ds:schemaRef ds:uri="http://schemas.microsoft.com/sharepoint/v3/contenttype/forms"/>
  </ds:schemaRefs>
</ds:datastoreItem>
</file>

<file path=customXml/itemProps3.xml><?xml version="1.0" encoding="utf-8"?>
<ds:datastoreItem xmlns:ds="http://schemas.openxmlformats.org/officeDocument/2006/customXml" ds:itemID="{A7245038-B243-488C-BE74-9359FD82AB6C}">
  <ds:schemaRefs>
    <ds:schemaRef ds:uri="http://schemas.microsoft.com/office/2006/metadata/contentType"/>
    <ds:schemaRef ds:uri="http://schemas.microsoft.com/office/2006/metadata/properties/metaAttributes"/>
    <ds:schemaRef ds:uri="http://www.w3.org/2001/XMLSchema"/>
    <ds:schemaRef ds:uri="http://schemas.microsoft.com/office/2006/metadata/properties"/>
    <ds:schemaRef ds:uri="c8e751d2-3d37-4167-80fa-a7ac4017bdce"/>
    <ds:schemaRef ds:uri="http://schemas.microsoft.com/office/2006/documentManagement/types"/>
    <ds:schemaRef ds:uri="http://schemas.microsoft.com/office/infopath/2007/PartnerControls"/>
    <ds:schemaRef ds:uri="http://schemas.openxmlformats.org/package/2006/metadata/core-properties"/>
    <ds:schemaRef ds:uri="http://purl.org/dc/elements/1.1/"/>
    <ds:schemaRef ds:uri="http://purl.org/dc/terms/"/>
    <ds:schemaRef ds:uri="http://schemas.microsoft.com/internal/obd"/>
  </ds:schemaRefs>
</ds:datastoreItem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Worksheets</vt:lpstr>
      </vt:variant>
      <vt:variant>
        <vt:i4>4</vt:i4>
      </vt:variant>
    </vt:vector>
  </HeadingPairs>
  <TitlesOfParts>
    <vt:vector size="4" baseType="lpstr">
      <vt:lpstr>Cover</vt:lpstr>
      <vt:lpstr>1_Inputs&amp;Hyp</vt:lpstr>
      <vt:lpstr>2_Calculs</vt:lpstr>
      <vt:lpstr>3_Output</vt:lpstr>
    </vt:vector>
  </TitlesOfParts>
  <Manager/>
  <Company/>
  <LinksUpToDate>false</LinksUpToDate>
  <SharedDoc>false</SharedDoc>
  <HyperlinkBase/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title/>
  <dc:subject/>
  <dc:creator>Leveilley, Victoire</dc:creator>
  <cp:keywords/>
  <dc:description/>
  <cp:lastModifiedBy>Thivard, Theo</cp:lastModifiedBy>
  <cp:revision/>
  <dcterms:created xsi:type="dcterms:W3CDTF">2026-09-29T11:24:40Z</dcterms:created>
  <dcterms:modified xsi:type="dcterms:W3CDTF">2026-10-05T07:51:58Z</dcterms:modified>
  <cp:category/>
  <cp:contentStatus/>
</cp:coreProperties>
</file>

<file path=docProps/custom.xml><?xml version="1.0" encoding="utf-8"?>
<Properties xmlns="http://schemas.openxmlformats.org/officeDocument/2006/custom-properties" xmlns:vt="http://schemas.openxmlformats.org/officeDocument/2006/docPropsVTypes">
  <property fmtid="{D5CDD505-2E9C-101B-9397-08002B2CF9AE}" pid="2" name="MSIP_Label_252f35fa-8165-4243-b308-eaa898c7c3bd_Enabled">
    <vt:lpwstr>true</vt:lpwstr>
  </property>
  <property fmtid="{D5CDD505-2E9C-101B-9397-08002B2CF9AE}" pid="3" name="MSIP_Label_252f35fa-8165-4243-b308-eaa898c7c3bd_SetDate">
    <vt:lpwstr>2026-09-29T11:24:40Z</vt:lpwstr>
  </property>
  <property fmtid="{D5CDD505-2E9C-101B-9397-08002B2CF9AE}" pid="4" name="MSIP_Label_252f35fa-8165-4243-b308-eaa898c7c3bd_Method">
    <vt:lpwstr>Privileged</vt:lpwstr>
  </property>
  <property fmtid="{D5CDD505-2E9C-101B-9397-08002B2CF9AE}" pid="5" name="MSIP_Label_252f35fa-8165-4243-b308-eaa898c7c3bd_Name">
    <vt:lpwstr>Internal</vt:lpwstr>
  </property>
  <property fmtid="{D5CDD505-2E9C-101B-9397-08002B2CF9AE}" pid="6" name="MSIP_Label_252f35fa-8165-4243-b308-eaa898c7c3bd_SiteId">
    <vt:lpwstr>720ebb82-481f-4a53-b7ca-9a6c71a0e24b</vt:lpwstr>
  </property>
  <property fmtid="{D5CDD505-2E9C-101B-9397-08002B2CF9AE}" pid="7" name="MSIP_Label_252f35fa-8165-4243-b308-eaa898c7c3bd_ActionId">
    <vt:lpwstr>c8bd5b02-2ace-4df9-b63a-12afeee6b4a7</vt:lpwstr>
  </property>
  <property fmtid="{D5CDD505-2E9C-101B-9397-08002B2CF9AE}" pid="8" name="MSIP_Label_252f35fa-8165-4243-b308-eaa898c7c3bd_ContentBits">
    <vt:lpwstr>1</vt:lpwstr>
  </property>
  <property fmtid="{D5CDD505-2E9C-101B-9397-08002B2CF9AE}" pid="9" name="MSIP_Label_252f35fa-8165-4243-b308-eaa898c7c3bd_Tag">
    <vt:lpwstr>10, 0, 1, 1</vt:lpwstr>
  </property>
  <property fmtid="{D5CDD505-2E9C-101B-9397-08002B2CF9AE}" pid="10" name="ContentTypeId">
    <vt:lpwstr>0x010100E67A066FCD1E3F438488297A6C42CAF9</vt:lpwstr>
  </property>
</Properties>
</file>