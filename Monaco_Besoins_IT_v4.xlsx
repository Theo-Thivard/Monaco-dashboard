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rberger-my.sharepoint.com/personal/theo_thivard_rolandberger_com/Documents/Desktop/TMT/Dashboard/"/>
    </mc:Choice>
  </mc:AlternateContent>
  <xr:revisionPtr revIDLastSave="5" documentId="8_{F6B55F70-8E07-48DB-B0EA-E687927205DA}" xr6:coauthVersionLast="47" xr6:coauthVersionMax="47" xr10:uidLastSave="{65BF1007-0474-49FC-BA01-F40CBA5406DF}"/>
  <bookViews>
    <workbookView xWindow="-108" yWindow="-108" windowWidth="23256" windowHeight="12456" activeTab="3" xr2:uid="{00000000-000D-0000-FFFF-FFFF00000000}"/>
  </bookViews>
  <sheets>
    <sheet name="Cover" sheetId="5" r:id="rId1"/>
    <sheet name="1_Inputs&amp;Hyp" sheetId="2" r:id="rId2"/>
    <sheet name="2_Calculs" sheetId="3" r:id="rId3"/>
    <sheet name="3_Output" sheetId="4" r:id="rId4"/>
  </sheets>
  <definedNames>
    <definedName name="____________a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________a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________a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________a2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________a3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______a3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______a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______a4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______a5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________a5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________art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______art4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______c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______c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______d1" hidden="1">{#N/A,#N/A,FALSE,"bel";#N/A,#N/A,FALSE,"neth"}</definedName>
    <definedName name="____________d1_1" hidden="1">{#N/A,#N/A,FALSE,"bel";#N/A,#N/A,FALSE,"neth"}</definedName>
    <definedName name="____________q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________q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________r78ri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______r78ri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______r7irro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______r7irro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______wr4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________wr4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_______o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_______o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__a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__a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__a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__a2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__a3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a3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a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a4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a5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__a5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__c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c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d1" hidden="1">{#N/A,#N/A,FALSE,"bel";#N/A,#N/A,FALSE,"neth"}</definedName>
    <definedName name="______d1_1" hidden="1">{#N/A,#N/A,FALSE,"bel";#N/A,#N/A,FALSE,"neth"}</definedName>
    <definedName name="______q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__q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__r78ri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r78ri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r7irro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r7irro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wr4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__wr4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_a1" hidden="1">{"mgmt forecast",#N/A,FALSE,"Mgmt Forecast";"dcf table",#N/A,FALSE,"Mgmt Forecast";"sensitivity",#N/A,FALSE,"Mgmt Forecast";"table inputs",#N/A,FALSE,"Mgmt Forecast";"calculations",#N/A,FALSE,"Mgmt Forecast"}</definedName>
    <definedName name="_____a2" hidden="1">{"mgmt forecast",#N/A,FALSE,"Mgmt Forecast";"dcf table",#N/A,FALSE,"Mgmt Forecast";"sensitivity",#N/A,FALSE,"Mgmt Forecast";"table inputs",#N/A,FALSE,"Mgmt Forecast";"calculations",#N/A,FALSE,"Mgmt Forecast"}</definedName>
    <definedName name="_____art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art4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a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a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a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a2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a3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a3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a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a4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a5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a5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c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c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d1" hidden="1">{#N/A,#N/A,FALSE,"bel";#N/A,#N/A,FALSE,"neth"}</definedName>
    <definedName name="____d1_1" hidden="1">{#N/A,#N/A,FALSE,"bel";#N/A,#N/A,FALSE,"neth"}</definedName>
    <definedName name="____o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o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q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q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r78ri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r78ri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r7irro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r7irro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wr4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wr4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a1" hidden="1">{"mgmt forecast",#N/A,FALSE,"Mgmt Forecast";"dcf table",#N/A,FALSE,"Mgmt Forecast";"sensitivity",#N/A,FALSE,"Mgmt Forecast";"table inputs",#N/A,FALSE,"Mgmt Forecast";"calculations",#N/A,FALSE,"Mgmt Forecast"}</definedName>
    <definedName name="___a2" hidden="1">{"mgmt forecast",#N/A,FALSE,"Mgmt Forecast";"dcf table",#N/A,FALSE,"Mgmt Forecast";"sensitivity",#N/A,FALSE,"Mgmt Forecast";"table inputs",#N/A,FALSE,"Mgmt Forecast";"calculations",#N/A,FALSE,"Mgmt Forecast"}</definedName>
    <definedName name="___art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art4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a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a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a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a2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a3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a3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a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a4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a5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a5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d1" hidden="1">{#N/A,#N/A,FALSE,"bel";#N/A,#N/A,FALSE,"neth"}</definedName>
    <definedName name="__d1_1" hidden="1">{#N/A,#N/A,FALSE,"bel";#N/A,#N/A,FALSE,"neth"}</definedName>
    <definedName name="__o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o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q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q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r78ri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r78ri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r7irro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r7irro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wr4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wr4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5111cda8_STF_Fuss_1_CN1">#REF!</definedName>
    <definedName name="_5111cda8_STF_Gesamtsumme_1_CN1">#REF!</definedName>
    <definedName name="_5111cda8_STF_Gesamtsumme_1_CN2">#REF!</definedName>
    <definedName name="_5111cda8_STF_Koerper_1_CN1">#REF!</definedName>
    <definedName name="_5111cda8_STF_Koerper_1_CN3">#REF!</definedName>
    <definedName name="_5111cda8_STF_Koerper_1_CN4">#REF!</definedName>
    <definedName name="_5111cda8_STF_Koerper_1_CN5">#REF!</definedName>
    <definedName name="_5111cda8_STF_Koerper_1_CN6">#REF!</definedName>
    <definedName name="_5111cda8_STF_Koerper_1_CN7">#REF!</definedName>
    <definedName name="_5111cda8_STF_Koerper_1_CN8">#REF!</definedName>
    <definedName name="_5111cda8_STF_Tabellenkopf_1_CN1">#REF!</definedName>
    <definedName name="_5111cda8_STF_Titel_1_CN1">#REF!</definedName>
    <definedName name="_5111cda8_STF_Vorspalte_1_CN1">#REF!</definedName>
    <definedName name="_a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a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a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a2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a3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a3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a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a4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a5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a5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art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art4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CST2006">#REF!</definedName>
    <definedName name="_CST2008">#REF!</definedName>
    <definedName name="_d1" hidden="1">{#N/A,#N/A,FALSE,"bel";#N/A,#N/A,FALSE,"neth"}</definedName>
    <definedName name="_d1_1" hidden="1">{#N/A,#N/A,FALSE,"bel";#N/A,#N/A,FALSE,"neth"}</definedName>
    <definedName name="_Order1" hidden="1">255</definedName>
    <definedName name="_q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q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r78ri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r78ri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r7irro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r7irro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Regression_Int" hidden="1">1</definedName>
    <definedName name="_TAB7">#REF!</definedName>
    <definedName name="_wr4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wr4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xlcn.LinkedTable_Tabelle1" hidden="1">#REF!</definedName>
    <definedName name="_xlcn.LinkedTable_Table11" hidden="1">#REF!</definedName>
    <definedName name="_xlcn.LinkedTable_Table111" hidden="1">#REF!</definedName>
    <definedName name="_xlcn.LinkedTable_Table121" hidden="1">#REF!</definedName>
    <definedName name="_xlcn.WorksheetConnection_082016ADJVALORISATIONDESSTOCKScopieajoutprixmanquants.xlsxTableau_APMTARP___Tarifs_par_Référence_et_fournisseur" hidden="1">#REF!</definedName>
    <definedName name="_xlcn.WorksheetConnection_20162017ITexpendituretracking.xlsxCapExAccrSpend1" hidden="1">#REF!</definedName>
    <definedName name="_xlcn.WorksheetConnection_20171120REAgentCommissionHistoricalv2.xlsbCCData1" hidden="1">#REF!</definedName>
    <definedName name="_xlcn.WorksheetConnection_BdDA1AR65741" hidden="1">#REF!</definedName>
    <definedName name="_xlcn.WorksheetConnection_DataBaseIntercosFY12B6L23481" hidden="1">#REF!</definedName>
    <definedName name="_xlcn.WorksheetConnection_DBITBudget2014V0.xlsxTableau131" hidden="1">#REF!</definedName>
    <definedName name="_xlcn.WorksheetConnection_MerchantA1DA38126" hidden="1">#REF!</definedName>
    <definedName name="_xlcn.WorksheetConnection_NewBizB25N271" hidden="1">#REF!</definedName>
    <definedName name="_xlcn.WorksheetConnection_OverduedebtorsH2J881" hidden="1">#REF!</definedName>
    <definedName name="_xlcn.WorksheetConnection_PCDatabase.xlsxProjectCodes1" hidden="1">#REF!</definedName>
    <definedName name="_xlcn.WorksheetConnection_PCDatabase.xlsxProjListDataUpdates1" hidden="1">#REF!</definedName>
    <definedName name="_xlcn.WorksheetConnection_ReportA11AP19694" hidden="1">#REF!</definedName>
    <definedName name="_xlcn.WorksheetConnection_SYNTHESEPROJETSA1AI2391" hidden="1">#REF!</definedName>
    <definedName name="_xlcn.WorksheetConnection_SYNTHESEPROJETSA1AK2391" hidden="1">#REF!</definedName>
    <definedName name="a" hidden="1">{"mgmt forecast",#N/A,FALSE,"Mgmt Forecast";"dcf table",#N/A,FALSE,"Mgmt Forecast";"sensitivity",#N/A,FALSE,"Mgmt Forecast";"table inputs",#N/A,FALSE,"Mgmt Forecast";"calculations",#N/A,FALSE,"Mgmt Forecast"}</definedName>
    <definedName name="aaaa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aaaa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aaaaaaa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aaaaaaa_1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AccessDatabase" hidden="1">"S:\02_General_Programme_Management\5  Controlling\Business Case\Business Case Datenbank\BC_Auswertung.mdb"</definedName>
    <definedName name="aezeeeeeee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ezeeeeeee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ezer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ezer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fvh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fvh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nja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nja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reta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reta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rta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rta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s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s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tahd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atahd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automobile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utomobile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utomobile_1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utomobile_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zrzar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azrzar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b">#N/A</definedName>
    <definedName name="b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b_1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bébé">#REF!</definedName>
    <definedName name="blubb3" hidden="1">#N/A</definedName>
    <definedName name="c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c_1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ChoixTraçage">#REF!</definedName>
    <definedName name="CIQWBGuid" hidden="1">"3bfbc67a-e70e-4707-ba77-62599329f6c4"</definedName>
    <definedName name="COMPTE_D_EXPLOITATION_PAR_BRANCHE">#REF!</definedName>
    <definedName name="CST">#REF!</definedName>
    <definedName name="CST_2006">#REF!</definedName>
    <definedName name="D">{#N/A,#N/A,FALSE,"bel";#N/A,#N/A,FALSE,"neth"}</definedName>
    <definedName name="d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d_1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d_2" hidden="1">{#N/A,#N/A,FALSE,"bel";#N/A,#N/A,FALSE,"neth"}</definedName>
    <definedName name="_xlnm.Database">#REF!</definedName>
    <definedName name="DatesGraphiques">CHOOSE(TableauGraphique,#REF!,#REF!)</definedName>
    <definedName name="dcrutu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dcrutu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dcrutu_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dcrutu_2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dda" hidden="1">Main.SAPF4Help()</definedName>
    <definedName name="dfA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dfA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dfbg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dfbg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dfgderzeer5z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dfgderzeer5z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dfgderzeer5z_1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dfgderzeer5z_2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dfgsdgsdfgsdfg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dfgsdgsdfgsdfg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dgs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dgs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djm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djm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Données_brutes">#REF!</definedName>
    <definedName name="Données_volume">#REF!</definedName>
    <definedName name="Données_volume_2">#REF!</definedName>
    <definedName name="Données_volume_3">#REF!</definedName>
    <definedName name="Données_volume_5">#REF!</definedName>
    <definedName name="Donnéesbrutes">#REF!</definedName>
    <definedName name="Donnéesbrutes_2">#REF!</definedName>
    <definedName name="Donnéesbrutes_3">#REF!</definedName>
    <definedName name="Donnéesbrutes_5">#REF!</definedName>
    <definedName name="DonnéesCNAM">#REF!</definedName>
    <definedName name="DonnéesCNAM_2">#REF!</definedName>
    <definedName name="DonnéesCNAM_3">#REF!</definedName>
    <definedName name="DonnéesCNAM_5">#REF!</definedName>
    <definedName name="DonnéesCVS">#REF!</definedName>
    <definedName name="DonnéesDemetra_CT">#REF!</definedName>
    <definedName name="DonnéesDemetra_CT_2">#REF!</definedName>
    <definedName name="DonnéesDemetra_CT_3">#REF!</definedName>
    <definedName name="DonnéesDemetra_CT_5">#REF!</definedName>
    <definedName name="dsgds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dsgds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dtzzkj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dtzzkj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EInheiten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EInheiten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EInheiten_1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EInheiten_2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er" hidden="1">{#N/A,#N/A,FALSE,"Report-Generator";#N/A,#N/A,FALSE,"Page 1 Summary";#N/A,#N/A,FALSE,"Page 2 IRR";#N/A,#N/A,FALSE,"Page 3a Volume Profile";#N/A,#N/A,FALSE,"Page 3b Volume Profile";#N/A,#N/A,FALSE,"Page 3c Volume Profile";#N/A,#N/A,FALSE,"Page 4 Volume Profile, Mix";#N/A,#N/A,FALSE,"Page 5 Product Investment";#N/A,#N/A,FALSE,"Page 6 Variable Costs";#N/A,#N/A,FALSE,"Page 7 Contribution Comparison1";#N/A,#N/A,FALSE,"Page 8 Contribution Comparison2";#N/A,#N/A,FALSE,"Page 9 Contribution Comparison3";#N/A,#N/A,FALSE,"Page 10 IRR Calculation"}</definedName>
    <definedName name="er_1" hidden="1">{#N/A,#N/A,FALSE,"Report-Generator";#N/A,#N/A,FALSE,"Page 1 Summary";#N/A,#N/A,FALSE,"Page 2 IRR";#N/A,#N/A,FALSE,"Page 3a Volume Profile";#N/A,#N/A,FALSE,"Page 3b Volume Profile";#N/A,#N/A,FALSE,"Page 3c Volume Profile";#N/A,#N/A,FALSE,"Page 4 Volume Profile, Mix";#N/A,#N/A,FALSE,"Page 5 Product Investment";#N/A,#N/A,FALSE,"Page 6 Variable Costs";#N/A,#N/A,FALSE,"Page 7 Contribution Comparison1";#N/A,#N/A,FALSE,"Page 8 Contribution Comparison2";#N/A,#N/A,FALSE,"Page 9 Contribution Comparison3";#N/A,#N/A,FALSE,"Page 10 IRR Calculation"}</definedName>
    <definedName name="ergebni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ergebni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ergebnis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ergebnis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ergebnis_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ergebnis_2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F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gsdhhj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fgsdhhj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fgsdhhj_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fgsdhhj_2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fhjfjgf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hjfjgf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hjfjgf_1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hjfjgf_2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jgtjtr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fjgtjtr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fjhjd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fjhjd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fjhjd_1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fjhjd_2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flu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flu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Fra">"Graphique 2"</definedName>
    <definedName name="fsd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sd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sd_1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sd_2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sg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fsg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fsg_1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fsg_2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fuafg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fuafg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fuiil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fuiil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fzlfz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zlfz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g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g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gfhtf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gfhtf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gg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gg_1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ghkg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ghkg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ghkgh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ghkgh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gjhk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gjhk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gkg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gkg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Graphiques">#REF!</definedName>
    <definedName name="gvhj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gvhj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h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h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HGB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HGB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himmel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himmel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himmel_1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himmel_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hjg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hjg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htfx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htfx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input" hidden="1">{#N/A,#N/A,FALSE,"Report-Generator";#N/A,#N/A,FALSE,"S.1 Zusammenfassung";#N/A,#N/A,FALSE,"S.2 Modellrendite";#N/A,#N/A,FALSE,"S.3a Absatzvolumen";#N/A,#N/A,FALSE,"S.3b Absatzvolumen";#N/A,#N/A,FALSE,"S.3c Absatzvolumen";#N/A,#N/A,FALSE,"S.4 Volumen, Mix";#N/A,#N/A,FALSE,"S.5 Produktaufwand";#N/A,#N/A,FALSE,"S.6 Prop. Herstellkosten";#N/A,#N/A,FALSE,"S.7 DB-Vergleich";#N/A,#N/A,FALSE,"S.8 DB-Vergleich";#N/A,#N/A,FALSE,"S.9 DB-Vergleich";#N/A,#N/A,FALSE,"S.10 MR-Berechnung"}</definedName>
    <definedName name="input_1" hidden="1">{#N/A,#N/A,FALSE,"Report-Generator";#N/A,#N/A,FALSE,"S.1 Zusammenfassung";#N/A,#N/A,FALSE,"S.2 Modellrendite";#N/A,#N/A,FALSE,"S.3a Absatzvolumen";#N/A,#N/A,FALSE,"S.3b Absatzvolumen";#N/A,#N/A,FALSE,"S.3c Absatzvolumen";#N/A,#N/A,FALSE,"S.4 Volumen, Mix";#N/A,#N/A,FALSE,"S.5 Produktaufwand";#N/A,#N/A,FALSE,"S.6 Prop. Herstellkosten";#N/A,#N/A,FALSE,"S.7 DB-Vergleich";#N/A,#N/A,FALSE,"S.8 DB-Vergleich";#N/A,#N/A,FALSE,"S.9 DB-Vergleich";#N/A,#N/A,FALSE,"S.10 MR-Berechnung"}</definedName>
    <definedName name="iopi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iopi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IQ_ACCOUNT_CHANGE" hidden="1">"c1449"</definedName>
    <definedName name="IQ_ACCOUNTING_STANDARD" hidden="1">"c4539"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EMPLOYEES" hidden="1">"c6019"</definedName>
    <definedName name="IQ_AVG_INDUSTRY_REC" hidden="1">"c4455"</definedName>
    <definedName name="IQ_AVG_INDUSTRY_REC_NO" hidden="1">"c4454"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ACT_OR_EST_REUT" hidden="1">"c5471"</definedName>
    <definedName name="IQ_BV_EST" hidden="1">"c5624"</definedName>
    <definedName name="IQ_BV_EST_REUT" hidden="1">"c5403"</definedName>
    <definedName name="IQ_BV_HIGH_EST" hidden="1">"c5626"</definedName>
    <definedName name="IQ_BV_HIGH_EST_REUT" hidden="1">"c5405"</definedName>
    <definedName name="IQ_BV_LOW_EST" hidden="1">"c5627"</definedName>
    <definedName name="IQ_BV_LOW_EST_REUT" hidden="1">"c5406"</definedName>
    <definedName name="IQ_BV_MEDIAN_EST" hidden="1">"c5625"</definedName>
    <definedName name="IQ_BV_MEDIAN_EST_REUT" hidden="1">"c5404"</definedName>
    <definedName name="IQ_BV_NUM_EST" hidden="1">"c5628"</definedName>
    <definedName name="IQ_BV_NUM_EST_REUT" hidden="1">"c5407"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REUT" hidden="1">"c5477"</definedName>
    <definedName name="IQ_BV_SHARE_EST" hidden="1">"c3541"</definedName>
    <definedName name="IQ_BV_SHARE_EST_REUT" hidden="1">"c5439"</definedName>
    <definedName name="IQ_BV_SHARE_HIGH_EST" hidden="1">"c3542"</definedName>
    <definedName name="IQ_BV_SHARE_HIGH_EST_REUT" hidden="1">"c5441"</definedName>
    <definedName name="IQ_BV_SHARE_LOW_EST" hidden="1">"c3543"</definedName>
    <definedName name="IQ_BV_SHARE_LOW_EST_REUT" hidden="1">"c5442"</definedName>
    <definedName name="IQ_BV_SHARE_MEDIAN_EST" hidden="1">"c3544"</definedName>
    <definedName name="IQ_BV_SHARE_MEDIAN_EST_REUT" hidden="1">"c5440"</definedName>
    <definedName name="IQ_BV_SHARE_NUM_EST" hidden="1">"c3539"</definedName>
    <definedName name="IQ_BV_SHARE_NUM_EST_REUT" hidden="1">"c5443"</definedName>
    <definedName name="IQ_BV_SHARE_STDDEV_EST" hidden="1">"c3540"</definedName>
    <definedName name="IQ_BV_SHARE_STDDEV_EST_REUT" hidden="1">"c5444"</definedName>
    <definedName name="IQ_BV_STDDEV_EST" hidden="1">"c5629"</definedName>
    <definedName name="IQ_BV_STDDEV_EST_REUT" hidden="1">"c5408"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REUT" hidden="1">"c5474"</definedName>
    <definedName name="IQ_CAPEX_BNK" hidden="1">"c110"</definedName>
    <definedName name="IQ_CAPEX_BR" hidden="1">"c111"</definedName>
    <definedName name="IQ_CAPEX_EST" hidden="1">"c3523"</definedName>
    <definedName name="IQ_CAPEX_EST_REUT" hidden="1">"c3969"</definedName>
    <definedName name="IQ_CAPEX_FIN" hidden="1">"c112"</definedName>
    <definedName name="IQ_CAPEX_GUIDANCE" hidden="1">"c4150"</definedName>
    <definedName name="IQ_CAPEX_HIGH_EST" hidden="1">"c3524"</definedName>
    <definedName name="IQ_CAPEX_HIGH_EST_REUT" hidden="1">"c3971"</definedName>
    <definedName name="IQ_CAPEX_HIGH_GUIDANCE" hidden="1">"c4180"</definedName>
    <definedName name="IQ_CAPEX_INS" hidden="1">"c113"</definedName>
    <definedName name="IQ_CAPEX_LOW_EST" hidden="1">"c3525"</definedName>
    <definedName name="IQ_CAPEX_LOW_EST_REUT" hidden="1">"c3972"</definedName>
    <definedName name="IQ_CAPEX_LOW_GUIDANCE" hidden="1">"c4220"</definedName>
    <definedName name="IQ_CAPEX_MEDIAN_EST" hidden="1">"c3526"</definedName>
    <definedName name="IQ_CAPEX_MEDIAN_EST_REUT" hidden="1">"c3970"</definedName>
    <definedName name="IQ_CAPEX_NUM_EST" hidden="1">"c3521"</definedName>
    <definedName name="IQ_CAPEX_NUM_EST_REUT" hidden="1">"c3973"</definedName>
    <definedName name="IQ_CAPEX_STDDEV_EST" hidden="1">"c3522"</definedName>
    <definedName name="IQ_CAPEX_STDDEV_EST_REUT" hidden="1">"c3974"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PS_ACT_OR_EST" hidden="1">"c5638"</definedName>
    <definedName name="IQ_CASH_EPS_EST" hidden="1">"c5631"</definedName>
    <definedName name="IQ_CASH_EPS_HIGH_EST" hidden="1">"c5633"</definedName>
    <definedName name="IQ_CASH_EPS_LOW_EST" hidden="1">"c5634"</definedName>
    <definedName name="IQ_CASH_EPS_MEDIAN_EST" hidden="1">"c5632"</definedName>
    <definedName name="IQ_CASH_EPS_NUM_EST" hidden="1">"c5635"</definedName>
    <definedName name="IQ_CASH_EPS_STDDEV_EST" hidden="1">"c5636"</definedName>
    <definedName name="IQ_CASH_EQUIV" hidden="1">"c118"</definedName>
    <definedName name="IQ_CASH_FINAN" hidden="1">"c119"</definedName>
    <definedName name="IQ_CASH_FLOW_ACT_OR_EST" hidden="1">"c4154"</definedName>
    <definedName name="IQ_CASH_FLOW_EST" hidden="1">"c4153"</definedName>
    <definedName name="IQ_CASH_FLOW_GUIDANCE" hidden="1">"c4155"</definedName>
    <definedName name="IQ_CASH_FLOW_HIGH_EST" hidden="1">"c4156"</definedName>
    <definedName name="IQ_CASH_FLOW_HIGH_GUIDANCE" hidden="1">"c4201"</definedName>
    <definedName name="IQ_CASH_FLOW_LOW_EST" hidden="1">"c4157"</definedName>
    <definedName name="IQ_CASH_FLOW_LOW_GUIDANCE" hidden="1">"c4241"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OPER_EST" hidden="1">"c4163"</definedName>
    <definedName name="IQ_CASH_OPER_GUIDANCE" hidden="1">"c4165"</definedName>
    <definedName name="IQ_CASH_OPER_HIGH_EST" hidden="1">"c4166"</definedName>
    <definedName name="IQ_CASH_OPER_HIGH_GUIDANCE" hidden="1">"c4185"</definedName>
    <definedName name="IQ_CASH_OPER_LOW_EST" hidden="1">"c4244"</definedName>
    <definedName name="IQ_CASH_OPER_LOW_GUIDANCE" hidden="1">"c4225"</definedName>
    <definedName name="IQ_CASH_OPER_MEDIAN_EST" hidden="1">"c4245"</definedName>
    <definedName name="IQ_CASH_OPER_NUM_EST" hidden="1">"c4246"</definedName>
    <definedName name="IQ_CASH_OPER_STDDEV_EST" hidden="1">"c4247"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HIGH_EST" hidden="1">"c4251"</definedName>
    <definedName name="IQ_CASH_ST_INVEST_HIGH_GUIDANCE" hidden="1">"c4195"</definedName>
    <definedName name="IQ_CASH_ST_INVEST_LOW_EST" hidden="1">"c4252"</definedName>
    <definedName name="IQ_CASH_ST_INVEST_LOW_GUIDANCE" hidden="1">"c4235"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TAXES" hidden="1">"c125"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REUT" hidden="1">"c5463"</definedName>
    <definedName name="IQ_CFPS_EST" hidden="1">"c1667"</definedName>
    <definedName name="IQ_CFPS_EST_REUT" hidden="1">"c3844"</definedName>
    <definedName name="IQ_CFPS_GUIDANCE" hidden="1">"c4256"</definedName>
    <definedName name="IQ_CFPS_HIGH_EST" hidden="1">"c1669"</definedName>
    <definedName name="IQ_CFPS_HIGH_EST_REUT" hidden="1">"c3846"</definedName>
    <definedName name="IQ_CFPS_HIGH_GUIDANCE" hidden="1">"c4167"</definedName>
    <definedName name="IQ_CFPS_LOW_EST" hidden="1">"c1670"</definedName>
    <definedName name="IQ_CFPS_LOW_EST_REUT" hidden="1">"c3847"</definedName>
    <definedName name="IQ_CFPS_LOW_GUIDANCE" hidden="1">"c4207"</definedName>
    <definedName name="IQ_CFPS_MEDIAN_EST" hidden="1">"c1668"</definedName>
    <definedName name="IQ_CFPS_MEDIAN_EST_REUT" hidden="1">"c3845"</definedName>
    <definedName name="IQ_CFPS_NUM_EST" hidden="1">"c1671"</definedName>
    <definedName name="IQ_CFPS_NUM_EST_REUT" hidden="1">"c3848"</definedName>
    <definedName name="IQ_CFPS_STDDEV_EST" hidden="1">"c1672"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EST" hidden="1">"c4277"</definedName>
    <definedName name="IQ_DISTRIBUTABLE_CASH_GUIDANCE" hidden="1">"c4279"</definedName>
    <definedName name="IQ_DISTRIBUTABLE_CASH_HIGH_EST" hidden="1">"c4280"</definedName>
    <definedName name="IQ_DISTRIBUTABLE_CASH_HIGH_GUIDANCE" hidden="1">"c4198"</definedName>
    <definedName name="IQ_DISTRIBUTABLE_CASH_LOW_EST" hidden="1">"c4281"</definedName>
    <definedName name="IQ_DISTRIBUTABLE_CASH_LOW_GUIDANCE" hidden="1">"c4238"</definedName>
    <definedName name="IQ_DISTRIBUTABLE_CASH_MEDIAN_EST" hidden="1">"c4282"</definedName>
    <definedName name="IQ_DISTRIBUTABLE_CASH_NUM_EST" hidden="1">"c4283"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EST" hidden="1">"c4285"</definedName>
    <definedName name="IQ_DISTRIBUTABLE_CASH_SHARE_GUIDANCE" hidden="1">"c4287"</definedName>
    <definedName name="IQ_DISTRIBUTABLE_CASH_SHARE_HIGH_EST" hidden="1">"c4288"</definedName>
    <definedName name="IQ_DISTRIBUTABLE_CASH_SHARE_HIGH_GUIDANCE" hidden="1">"c4199"</definedName>
    <definedName name="IQ_DISTRIBUTABLE_CASH_SHARE_LOW_EST" hidden="1">"c4289"</definedName>
    <definedName name="IQ_DISTRIBUTABLE_CASH_SHARE_LOW_GUIDANCE" hidden="1">"c4239"</definedName>
    <definedName name="IQ_DISTRIBUTABLE_CASH_SHARE_MEDIAN_EST" hidden="1">"c4290"</definedName>
    <definedName name="IQ_DISTRIBUTABLE_CASH_SHARE_NUM_EST" hidden="1">"c4291"</definedName>
    <definedName name="IQ_DISTRIBUTABLE_CASH_SHARE_STDDEV_EST" hidden="1">"c4292"</definedName>
    <definedName name="IQ_DISTRIBUTABLE_CASH_STDDEV_EST" hidden="1">"c4294"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REUT" hidden="1">"c5464"</definedName>
    <definedName name="IQ_DPS_EST" hidden="1">"c1674"</definedName>
    <definedName name="IQ_DPS_EST_BOTTOM_UP" hidden="1">"c5493"</definedName>
    <definedName name="IQ_DPS_EST_BOTTOM_UP_REUT" hidden="1">"c5501"</definedName>
    <definedName name="IQ_DPS_EST_REUT" hidden="1">"c3851"</definedName>
    <definedName name="IQ_DPS_GUIDANCE" hidden="1">"c4302"</definedName>
    <definedName name="IQ_DPS_HIGH_EST" hidden="1">"c1676"</definedName>
    <definedName name="IQ_DPS_HIGH_EST_REUT" hidden="1">"c3853"</definedName>
    <definedName name="IQ_DPS_HIGH_GUIDANCE" hidden="1">"c4168"</definedName>
    <definedName name="IQ_DPS_LOW_EST" hidden="1">"c1677"</definedName>
    <definedName name="IQ_DPS_LOW_EST_REUT" hidden="1">"c3854"</definedName>
    <definedName name="IQ_DPS_LOW_GUIDANCE" hidden="1">"c4208"</definedName>
    <definedName name="IQ_DPS_MEDIAN_EST" hidden="1">"c1675"</definedName>
    <definedName name="IQ_DPS_MEDIAN_EST_REUT" hidden="1">"c3852"</definedName>
    <definedName name="IQ_DPS_NUM_EST" hidden="1">"c1678"</definedName>
    <definedName name="IQ_DPS_NUM_EST_REUT" hidden="1">"c3855"</definedName>
    <definedName name="IQ_DPS_STDDEV_EST" hidden="1">"c1679"</definedName>
    <definedName name="IQ_DPS_STDDEV_EST_REUT" hidden="1">"c3856"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REUT" hidden="1">"c5465"</definedName>
    <definedName name="IQ_EBIT_EQ_INC" hidden="1">"c3498"</definedName>
    <definedName name="IQ_EBIT_EQ_INC_EXCL_SBC" hidden="1">"c3502"</definedName>
    <definedName name="IQ_EBIT_EST" hidden="1">"c1681"</definedName>
    <definedName name="IQ_EBIT_EST_REUT" hidden="1">"c5333"</definedName>
    <definedName name="IQ_EBIT_EXCL_SBC" hidden="1">"c3082"</definedName>
    <definedName name="IQ_EBIT_GUIDANCE" hidden="1">"c4303"</definedName>
    <definedName name="IQ_EBIT_GW_ACT_OR_EST" hidden="1">"c4306"</definedName>
    <definedName name="IQ_EBIT_GW_EST" hidden="1">"c4305"</definedName>
    <definedName name="IQ_EBIT_GW_GUIDANCE" hidden="1">"c4307"</definedName>
    <definedName name="IQ_EBIT_GW_HIGH_EST" hidden="1">"c4308"</definedName>
    <definedName name="IQ_EBIT_GW_HIGH_GUIDANCE" hidden="1">"c4171"</definedName>
    <definedName name="IQ_EBIT_GW_LOW_EST" hidden="1">"c4309"</definedName>
    <definedName name="IQ_EBIT_GW_LOW_GUIDANCE" hidden="1">"c4211"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REUT" hidden="1">"c5335"</definedName>
    <definedName name="IQ_EBIT_HIGH_GUIDANCE" hidden="1">"c4172"</definedName>
    <definedName name="IQ_EBIT_INT" hidden="1">"c360"</definedName>
    <definedName name="IQ_EBIT_LOW_EST" hidden="1">"c1684"</definedName>
    <definedName name="IQ_EBIT_LOW_EST_REUT" hidden="1">"c5336"</definedName>
    <definedName name="IQ_EBIT_LOW_GUIDANCE" hidden="1">"c4212"</definedName>
    <definedName name="IQ_EBIT_MARGIN" hidden="1">"c359"</definedName>
    <definedName name="IQ_EBIT_MEDIAN_EST" hidden="1">"c1682"</definedName>
    <definedName name="IQ_EBIT_MEDIAN_EST_REUT" hidden="1">"c5334"</definedName>
    <definedName name="IQ_EBIT_NUM_EST" hidden="1">"c1685"</definedName>
    <definedName name="IQ_EBIT_NUM_EST_REUT" hidden="1">"c5337"</definedName>
    <definedName name="IQ_EBIT_OVER_IE" hidden="1">"c1369"</definedName>
    <definedName name="IQ_EBIT_SBC_ACT_OR_EST" hidden="1">"c4316"</definedName>
    <definedName name="IQ_EBIT_SBC_EST" hidden="1">"c4315"</definedName>
    <definedName name="IQ_EBIT_SBC_GUIDANCE" hidden="1">"c4317"</definedName>
    <definedName name="IQ_EBIT_SBC_GW_ACT_OR_EST" hidden="1">"c4320"</definedName>
    <definedName name="IQ_EBIT_SBC_GW_EST" hidden="1">"c4319"</definedName>
    <definedName name="IQ_EBIT_SBC_GW_GUIDANCE" hidden="1">"c4321"</definedName>
    <definedName name="IQ_EBIT_SBC_GW_HIGH_EST" hidden="1">"c4322"</definedName>
    <definedName name="IQ_EBIT_SBC_GW_HIGH_GUIDANCE" hidden="1">"c4193"</definedName>
    <definedName name="IQ_EBIT_SBC_GW_LOW_EST" hidden="1">"c4323"</definedName>
    <definedName name="IQ_EBIT_SBC_GW_LOW_GUIDANCE" hidden="1">"c4233"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LOW_EST" hidden="1">"c4329"</definedName>
    <definedName name="IQ_EBIT_SBC_LOW_GUIDANCE" hidden="1">"c4232"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REUT" hidden="1">"c5338"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REUT" hidden="1">"c5462"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GUIDANCE" hidden="1">"c4334"</definedName>
    <definedName name="IQ_EBITDA_HIGH_EST" hidden="1">"c370"</definedName>
    <definedName name="IQ_EBITDA_HIGH_EST_REUT" hidden="1">"c3642"</definedName>
    <definedName name="IQ_EBITDA_HIGH_GUIDANCE" hidden="1">"c4170"</definedName>
    <definedName name="IQ_EBITDA_INT" hidden="1">"c373"</definedName>
    <definedName name="IQ_EBITDA_LOW_EST" hidden="1">"c371"</definedName>
    <definedName name="IQ_EBITDA_LOW_EST_REUT" hidden="1">"c3643"</definedName>
    <definedName name="IQ_EBITDA_LOW_GUIDANCE" hidden="1">"c4210"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EST" hidden="1">"c4336"</definedName>
    <definedName name="IQ_EBITDA_SBC_GUIDANCE" hidden="1">"c4338"</definedName>
    <definedName name="IQ_EBITDA_SBC_HIGH_EST" hidden="1">"c4339"</definedName>
    <definedName name="IQ_EBITDA_SBC_HIGH_GUIDANCE" hidden="1">"c4194"</definedName>
    <definedName name="IQ_EBITDA_SBC_LOW_EST" hidden="1">"c4340"</definedName>
    <definedName name="IQ_EBITDA_SBC_LOW_GUIDANCE" hidden="1">"c4234"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GAAP_GUIDANCE" hidden="1">"c4345"</definedName>
    <definedName name="IQ_EBT_GAAP_HIGH_GUIDANCE" hidden="1">"c4174"</definedName>
    <definedName name="IQ_EBT_GAAP_LOW_GUIDANCE" hidden="1">"c4214"</definedName>
    <definedName name="IQ_EBT_GUIDANCE" hidden="1">"c4346"</definedName>
    <definedName name="IQ_EBT_GW_GUIDANCE" hidden="1">"c4347"</definedName>
    <definedName name="IQ_EBT_GW_HIGH_GUIDANCE" hidden="1">"c4175"</definedName>
    <definedName name="IQ_EBT_GW_LOW_GUIDANCE" hidden="1">"c4215"</definedName>
    <definedName name="IQ_EBT_HIGH_GUIDANCE" hidden="1">"c4173"</definedName>
    <definedName name="IQ_EBT_INCL_MARGIN" hidden="1">"c387"</definedName>
    <definedName name="IQ_EBT_INS" hidden="1">"c388"</definedName>
    <definedName name="IQ_EBT_LOW_GUIDANCE" hidden="1">"c4213"</definedName>
    <definedName name="IQ_EBT_RE" hidden="1">"c6215"</definedName>
    <definedName name="IQ_EBT_REIT" hidden="1">"c389"</definedName>
    <definedName name="IQ_EBT_SBC_ACT_OR_EST" hidden="1">"c4350"</definedName>
    <definedName name="IQ_EBT_SBC_EST" hidden="1">"c4349"</definedName>
    <definedName name="IQ_EBT_SBC_GUIDANCE" hidden="1">"c4351"</definedName>
    <definedName name="IQ_EBT_SBC_GW_ACT_OR_EST" hidden="1">"c4354"</definedName>
    <definedName name="IQ_EBT_SBC_GW_EST" hidden="1">"c4353"</definedName>
    <definedName name="IQ_EBT_SBC_GW_GUIDANCE" hidden="1">"c4355"</definedName>
    <definedName name="IQ_EBT_SBC_GW_HIGH_EST" hidden="1">"c4356"</definedName>
    <definedName name="IQ_EBT_SBC_GW_HIGH_GUIDANCE" hidden="1">"c4191"</definedName>
    <definedName name="IQ_EBT_SBC_GW_LOW_EST" hidden="1">"c4357"</definedName>
    <definedName name="IQ_EBT_SBC_GW_LOW_GUIDANCE" hidden="1">"c4231"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LOW_EST" hidden="1">"c4363"</definedName>
    <definedName name="IQ_EBT_SBC_LOW_GUIDANCE" hidden="1">"c4230"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UTI" hidden="1">"c390"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REUT" hidden="1">"c5460"</definedName>
    <definedName name="IQ_EPS_EST" hidden="1">"c399"</definedName>
    <definedName name="IQ_EPS_EST_BOTTOM_UP" hidden="1">"c5489"</definedName>
    <definedName name="IQ_EPS_EST_BOTTOM_UP_REUT" hidden="1">"c5497"</definedName>
    <definedName name="IQ_EPS_EST_REUT" hidden="1">"c5453"</definedName>
    <definedName name="IQ_EPS_EXCL_GUIDANCE" hidden="1">"c4368"</definedName>
    <definedName name="IQ_EPS_EXCL_HIGH_GUIDANCE" hidden="1">"c4369"</definedName>
    <definedName name="IQ_EPS_EXCL_LOW_GUIDANCE" hidden="1">"c4204"</definedName>
    <definedName name="IQ_EPS_GAAP_GUIDANCE" hidden="1">"c4370"</definedName>
    <definedName name="IQ_EPS_GAAP_HIGH_GUIDANCE" hidden="1">"c4371"</definedName>
    <definedName name="IQ_EPS_GAAP_LOW_GUIDANCE" hidden="1">"c4205"</definedName>
    <definedName name="IQ_EPS_GW_ACT_OR_EST" hidden="1">"c2223"</definedName>
    <definedName name="IQ_EPS_GW_ACT_OR_EST_REUT" hidden="1">"c5469"</definedName>
    <definedName name="IQ_EPS_GW_EST" hidden="1">"c1737"</definedName>
    <definedName name="IQ_EPS_GW_EST_BOTTOM_UP" hidden="1">"c5491"</definedName>
    <definedName name="IQ_EPS_GW_EST_BOTTOM_UP_REUT" hidden="1">"c5499"</definedName>
    <definedName name="IQ_EPS_GW_EST_REUT" hidden="1">"c5389"</definedName>
    <definedName name="IQ_EPS_GW_GUIDANCE" hidden="1">"c4372"</definedName>
    <definedName name="IQ_EPS_GW_HIGH_EST" hidden="1">"c1739"</definedName>
    <definedName name="IQ_EPS_GW_HIGH_EST_REUT" hidden="1">"c5391"</definedName>
    <definedName name="IQ_EPS_GW_HIGH_GUIDANCE" hidden="1">"c4373"</definedName>
    <definedName name="IQ_EPS_GW_LOW_EST" hidden="1">"c1740"</definedName>
    <definedName name="IQ_EPS_GW_LOW_EST_REUT" hidden="1">"c5392"</definedName>
    <definedName name="IQ_EPS_GW_LOW_GUIDANCE" hidden="1">"c4206"</definedName>
    <definedName name="IQ_EPS_GW_MEDIAN_EST" hidden="1">"c1738"</definedName>
    <definedName name="IQ_EPS_GW_MEDIAN_EST_REUT" hidden="1">"c5390"</definedName>
    <definedName name="IQ_EPS_GW_NUM_EST" hidden="1">"c1741"</definedName>
    <definedName name="IQ_EPS_GW_NUM_EST_REUT" hidden="1">"c5393"</definedName>
    <definedName name="IQ_EPS_GW_STDDEV_EST" hidden="1">"c1742"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" hidden="1">"c2226"</definedName>
    <definedName name="IQ_EPS_NORM_EST_BOTTOM_UP" hidden="1">"c5490"</definedName>
    <definedName name="IQ_EPS_NORM_EST_BOTTOM_UP_REUT" hidden="1">"c5498"</definedName>
    <definedName name="IQ_EPS_NORM_EST_REUT" hidden="1">"c5326"</definedName>
    <definedName name="IQ_EPS_NORM_HIGH_EST" hidden="1">"c2228"</definedName>
    <definedName name="IQ_EPS_NORM_HIGH_EST_REUT" hidden="1">"c5328"</definedName>
    <definedName name="IQ_EPS_NORM_LOW_EST" hidden="1">"c2229"</definedName>
    <definedName name="IQ_EPS_NORM_LOW_EST_REUT" hidden="1">"c5329"</definedName>
    <definedName name="IQ_EPS_NORM_MEDIAN_EST" hidden="1">"c2227"</definedName>
    <definedName name="IQ_EPS_NORM_MEDIAN_EST_REUT" hidden="1">"c5327"</definedName>
    <definedName name="IQ_EPS_NORM_NUM_EST" hidden="1">"c2230"</definedName>
    <definedName name="IQ_EPS_NORM_NUM_EST_REUT" hidden="1">"c5330"</definedName>
    <definedName name="IQ_EPS_NORM_STDDEV_EST" hidden="1">"c2231"</definedName>
    <definedName name="IQ_EPS_NORM_STDDEV_EST_REUT" hidden="1">"c5331"</definedName>
    <definedName name="IQ_EPS_NUM_EST" hidden="1">"c402"</definedName>
    <definedName name="IQ_EPS_NUM_EST_REUT" hidden="1">"c5451"</definedName>
    <definedName name="IQ_EPS_REPORT_ACT_OR_EST" hidden="1">"c2224"</definedName>
    <definedName name="IQ_EPS_REPORT_ACT_OR_EST_REUT" hidden="1">"c5470"</definedName>
    <definedName name="IQ_EPS_REPORTED_EST" hidden="1">"c1744"</definedName>
    <definedName name="IQ_EPS_REPORTED_EST_BOTTOM_UP" hidden="1">"c5492"</definedName>
    <definedName name="IQ_EPS_REPORTED_EST_BOTTOM_UP_REUT" hidden="1">"c5500"</definedName>
    <definedName name="IQ_EPS_REPORTED_EST_REUT" hidden="1">"c5396"</definedName>
    <definedName name="IQ_EPS_REPORTED_HIGH_EST" hidden="1">"c1746"</definedName>
    <definedName name="IQ_EPS_REPORTED_HIGH_EST_REUT" hidden="1">"c5398"</definedName>
    <definedName name="IQ_EPS_REPORTED_LOW_EST" hidden="1">"c1747"</definedName>
    <definedName name="IQ_EPS_REPORTED_LOW_EST_REUT" hidden="1">"c5399"</definedName>
    <definedName name="IQ_EPS_REPORTED_MEDIAN_EST" hidden="1">"c1745"</definedName>
    <definedName name="IQ_EPS_REPORTED_MEDIAN_EST_REUT" hidden="1">"c5397"</definedName>
    <definedName name="IQ_EPS_REPORTED_NUM_EST" hidden="1">"c1748"</definedName>
    <definedName name="IQ_EPS_REPORTED_NUM_EST_REUT" hidden="1">"c5400"</definedName>
    <definedName name="IQ_EPS_REPORTED_STDDEV_EST" hidden="1">"c1749"</definedName>
    <definedName name="IQ_EPS_REPORTED_STDDEV_EST_REUT" hidden="1">"c5401"</definedName>
    <definedName name="IQ_EPS_SBC_ACT_OR_EST" hidden="1">"c4376"</definedName>
    <definedName name="IQ_EPS_SBC_EST" hidden="1">"c4375"</definedName>
    <definedName name="IQ_EPS_SBC_GUIDANCE" hidden="1">"c4377"</definedName>
    <definedName name="IQ_EPS_SBC_GW_ACT_OR_EST" hidden="1">"c4380"</definedName>
    <definedName name="IQ_EPS_SBC_GW_EST" hidden="1">"c4379"</definedName>
    <definedName name="IQ_EPS_SBC_GW_GUIDANCE" hidden="1">"c4381"</definedName>
    <definedName name="IQ_EPS_SBC_GW_HIGH_EST" hidden="1">"c4382"</definedName>
    <definedName name="IQ_EPS_SBC_GW_HIGH_GUIDANCE" hidden="1">"c4189"</definedName>
    <definedName name="IQ_EPS_SBC_GW_LOW_EST" hidden="1">"c4383"</definedName>
    <definedName name="IQ_EPS_SBC_GW_LOW_GUIDANCE" hidden="1">"c4229"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LOW_EST" hidden="1">"c4389"</definedName>
    <definedName name="IQ_EPS_SBC_LOW_GUIDANCE" hidden="1">"c4228"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BV" hidden="1">"c5630"</definedName>
    <definedName name="IQ_EST_ACT_BV_REUT" hidden="1">"c5409"</definedName>
    <definedName name="IQ_EST_ACT_BV_SHARE" hidden="1">"c3549"</definedName>
    <definedName name="IQ_EST_ACT_BV_SHARE_REUT" hidden="1">"c5445"</definedName>
    <definedName name="IQ_EST_ACT_CAPEX" hidden="1">"c3546"</definedName>
    <definedName name="IQ_EST_ACT_CAPEX_REUT" hidden="1">"c3975"</definedName>
    <definedName name="IQ_EST_ACT_CASH_EPS" hidden="1">"c5637"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REUT" hidden="1">"c3850"</definedName>
    <definedName name="IQ_EST_ACT_DISTRIBUTABLE_CASH" hidden="1">"c4396"</definedName>
    <definedName name="IQ_EST_ACT_DISTRIBUTABLE_CASH_SHARE" hidden="1">"c4397"</definedName>
    <definedName name="IQ_EST_ACT_DPS" hidden="1">"c1680"</definedName>
    <definedName name="IQ_EST_ACT_DPS_REUT" hidden="1">"c3857"</definedName>
    <definedName name="IQ_EST_ACT_EBIT" hidden="1">"c1687"</definedName>
    <definedName name="IQ_EST_ACT_EBIT_GW" hidden="1">"c4398"</definedName>
    <definedName name="IQ_EST_ACT_EBIT_REUT" hidden="1">"c5339"</definedName>
    <definedName name="IQ_EST_ACT_EBIT_SBC" hidden="1">"c4399"</definedName>
    <definedName name="IQ_EST_ACT_EBIT_SBC_GW" hidden="1">"c4400"</definedName>
    <definedName name="IQ_EST_ACT_EBITDA" hidden="1">"c1664"</definedName>
    <definedName name="IQ_EST_ACT_EBITDA_REUT" hidden="1">"c3836"</definedName>
    <definedName name="IQ_EST_ACT_EBITDA_SBC" hidden="1">"c4401"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GW" hidden="1">"c1743"</definedName>
    <definedName name="IQ_EST_ACT_EPS_GW_REUT" hidden="1">"c5395"</definedName>
    <definedName name="IQ_EST_ACT_EPS_NORM" hidden="1">"c2232"</definedName>
    <definedName name="IQ_EST_ACT_EPS_NORM_REUT" hidden="1">"c5332"</definedName>
    <definedName name="IQ_EST_ACT_EPS_REPORTED" hidden="1">"c1750"</definedName>
    <definedName name="IQ_EST_ACT_EPS_REPORTED_REUT" hidden="1">"c5402"</definedName>
    <definedName name="IQ_EST_ACT_EPS_REUT" hidden="1">"c5457"</definedName>
    <definedName name="IQ_EST_ACT_EPS_SBC" hidden="1">"c4404"</definedName>
    <definedName name="IQ_EST_ACT_EPS_SBC_GW" hidden="1">"c4405"</definedName>
    <definedName name="IQ_EST_ACT_FFO" hidden="1">"c1666"</definedName>
    <definedName name="IQ_EST_ACT_FFO_ADJ" hidden="1">"c4406"</definedName>
    <definedName name="IQ_EST_ACT_FFO_REUT" hidden="1">"c3843"</definedName>
    <definedName name="IQ_EST_ACT_FFO_SHARE" hidden="1">"c4407"</definedName>
    <definedName name="IQ_EST_ACT_GROSS_MARGIN" hidden="1">"c5553"</definedName>
    <definedName name="IQ_EST_ACT_MAINT_CAPEX" hidden="1">"c4408"</definedName>
    <definedName name="IQ_EST_ACT_NAV" hidden="1">"c1757"</definedName>
    <definedName name="IQ_EST_ACT_NAV_SHARE" hidden="1">"c5608"</definedName>
    <definedName name="IQ_EST_ACT_NAV_SHARE_REUT" hidden="1">"c5616"</definedName>
    <definedName name="IQ_EST_ACT_NET_DEBT" hidden="1">"c3545"</definedName>
    <definedName name="IQ_EST_ACT_NET_DEBT_REUT" hidden="1">"c5446"</definedName>
    <definedName name="IQ_EST_ACT_NI" hidden="1">"c1722"</definedName>
    <definedName name="IQ_EST_ACT_NI_GW" hidden="1">"c1729"</definedName>
    <definedName name="IQ_EST_ACT_NI_GW_REUT" hidden="1">"c5381"</definedName>
    <definedName name="IQ_EST_ACT_NI_REPORTED" hidden="1">"c1736"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GW" hidden="1">"c4410"</definedName>
    <definedName name="IQ_EST_ACT_OPER_INC" hidden="1">"c1694"</definedName>
    <definedName name="IQ_EST_ACT_OPER_INC_REUT" hidden="1">"c5346"</definedName>
    <definedName name="IQ_EST_ACT_PRETAX_GW_INC" hidden="1">"c1708"</definedName>
    <definedName name="IQ_EST_ACT_PRETAX_GW_INC_REUT" hidden="1">"c5360"</definedName>
    <definedName name="IQ_EST_ACT_PRETAX_INC" hidden="1">"c1701"</definedName>
    <definedName name="IQ_EST_ACT_PRETAX_INC_REUT" hidden="1">"c5353"</definedName>
    <definedName name="IQ_EST_ACT_PRETAX_REPORT_INC" hidden="1">"c1715"</definedName>
    <definedName name="IQ_EST_ACT_PRETAX_REPORT_INC_REUT" hidden="1">"c5367"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REUT" hidden="1">"c3996"</definedName>
    <definedName name="IQ_EST_ACT_RETURN_EQUITY" hidden="1">"c3548"</definedName>
    <definedName name="IQ_EST_ACT_RETURN_EQUITY_REUT" hidden="1">"c3989"</definedName>
    <definedName name="IQ_EST_ACT_REV" hidden="1">"c2113"</definedName>
    <definedName name="IQ_EST_ACT_REV_REUT" hidden="1">"c3835"</definedName>
    <definedName name="IQ_EST_BV_DIFF_REUT" hidden="1">"c5433"</definedName>
    <definedName name="IQ_EST_BV_SHARE_DIFF" hidden="1">"c4147"</definedName>
    <definedName name="IQ_EST_BV_SHARE_SURPRISE_PERCENT" hidden="1">"c4148"</definedName>
    <definedName name="IQ_EST_BV_SURPRISE_PERCENT_REUT" hidden="1">"c5434"</definedName>
    <definedName name="IQ_EST_CAPEX_DIFF" hidden="1">"c4149"</definedName>
    <definedName name="IQ_EST_CAPEX_GROWTH_1YR" hidden="1">"c3588"</definedName>
    <definedName name="IQ_EST_CAPEX_GROWTH_1YR_REUT" hidden="1">"c5447"</definedName>
    <definedName name="IQ_EST_CAPEX_GROWTH_2YR" hidden="1">"c3589"</definedName>
    <definedName name="IQ_EST_CAPEX_GROWTH_2YR_REUT" hidden="1">"c5448"</definedName>
    <definedName name="IQ_EST_CAPEX_GROWTH_Q_1YR" hidden="1">"c3590"</definedName>
    <definedName name="IQ_EST_CAPEX_GROWTH_Q_1YR_REUT" hidden="1">"c5449"</definedName>
    <definedName name="IQ_EST_CAPEX_SEQ_GROWTH_Q" hidden="1">"c3591"</definedName>
    <definedName name="IQ_EST_CAPEX_SEQ_GROWTH_Q_REUT" hidden="1">"c5450"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 hidden="1">"c1871"</definedName>
    <definedName name="IQ_EST_CFPS_DIFF_REUT" hidden="1">"c3892"</definedName>
    <definedName name="IQ_EST_CFPS_GROWTH_1YR" hidden="1">"c1774"</definedName>
    <definedName name="IQ_EST_CFPS_GROWTH_1YR_REUT" hidden="1">"c3878"</definedName>
    <definedName name="IQ_EST_CFPS_GROWTH_2YR" hidden="1">"c1775"</definedName>
    <definedName name="IQ_EST_CFPS_GROWTH_2YR_REUT" hidden="1">"c3879"</definedName>
    <definedName name="IQ_EST_CFPS_GROWTH_Q_1YR" hidden="1">"c1776"</definedName>
    <definedName name="IQ_EST_CFPS_GROWTH_Q_1YR_REUT" hidden="1">"c3880"</definedName>
    <definedName name="IQ_EST_CFPS_SEQ_GROWTH_Q" hidden="1">"c1777"</definedName>
    <definedName name="IQ_EST_CFPS_SEQ_GROWTH_Q_REUT" hidden="1">"c3881"</definedName>
    <definedName name="IQ_EST_CFPS_SURPRISE_PERCENT" hidden="1">"c1872"</definedName>
    <definedName name="IQ_EST_CFPS_SURPRISE_PERCENT_REUT" hidden="1">"c3893"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 hidden="1">"c1873"</definedName>
    <definedName name="IQ_EST_DPS_DIFF_REUT" hidden="1">"c3894"</definedName>
    <definedName name="IQ_EST_DPS_GROWTH_1YR" hidden="1">"c1778"</definedName>
    <definedName name="IQ_EST_DPS_GROWTH_1YR_REUT" hidden="1">"c3882"</definedName>
    <definedName name="IQ_EST_DPS_GROWTH_2YR" hidden="1">"c1779"</definedName>
    <definedName name="IQ_EST_DPS_GROWTH_2YR_REUT" hidden="1">"c3883"</definedName>
    <definedName name="IQ_EST_DPS_GROWTH_Q_1YR" hidden="1">"c1780"</definedName>
    <definedName name="IQ_EST_DPS_GROWTH_Q_1YR_REUT" hidden="1">"c3884"</definedName>
    <definedName name="IQ_EST_DPS_SEQ_GROWTH_Q" hidden="1">"c1781"</definedName>
    <definedName name="IQ_EST_DPS_SEQ_GROWTH_Q_REUT" hidden="1">"c3885"</definedName>
    <definedName name="IQ_EST_DPS_SURPRISE_PERCENT" hidden="1">"c1874"</definedName>
    <definedName name="IQ_EST_DPS_SURPRISE_PERCENT_REUT" hidden="1">"c3895"</definedName>
    <definedName name="IQ_EST_EBIT_DIFF" hidden="1">"c1875"</definedName>
    <definedName name="IQ_EST_EBIT_DIFF_REUT" hidden="1">"c5413"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 hidden="1">"c1876"</definedName>
    <definedName name="IQ_EST_EBIT_SURPRISE_PERCENT_REUT" hidden="1">"c5414"</definedName>
    <definedName name="IQ_EST_EBITDA_DIFF" hidden="1">"c1867"</definedName>
    <definedName name="IQ_EST_EBITDA_DIFF_REUT" hidden="1">"c3888"</definedName>
    <definedName name="IQ_EST_EBITDA_GROWTH_1YR" hidden="1">"c1766"</definedName>
    <definedName name="IQ_EST_EBITDA_GROWTH_1YR_REUT" hidden="1">"c3864"</definedName>
    <definedName name="IQ_EST_EBITDA_GROWTH_2YR" hidden="1">"c1767"</definedName>
    <definedName name="IQ_EST_EBITDA_GROWTH_2YR_REUT" hidden="1">"c3865"</definedName>
    <definedName name="IQ_EST_EBITDA_GROWTH_Q_1YR" hidden="1">"c1768"</definedName>
    <definedName name="IQ_EST_EBITDA_GROWTH_Q_1YR_REUT" hidden="1">"c3866"</definedName>
    <definedName name="IQ_EST_EBITDA_SBC_DIFF" hidden="1">"c4335"</definedName>
    <definedName name="IQ_EST_EBITDA_SBC_SURPRISE_PERCENT" hidden="1">"c4344"</definedName>
    <definedName name="IQ_EST_EBITDA_SEQ_GROWTH_Q" hidden="1">"c1769"</definedName>
    <definedName name="IQ_EST_EBITDA_SEQ_GROWTH_Q_REUT" hidden="1">"c3867"</definedName>
    <definedName name="IQ_EST_EBITDA_SURPRISE_PERCENT" hidden="1">"c1868"</definedName>
    <definedName name="IQ_EST_EBITDA_SURPRISE_PERCENT_REUT" hidden="1">"c3889"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 hidden="1">"c1864"</definedName>
    <definedName name="IQ_EST_EPS_DIFF_REUT" hidden="1">"c5458"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2YR_REUT" hidden="1">"c3858"</definedName>
    <definedName name="IQ_EST_EPS_GROWTH_5YR" hidden="1">"c1655"</definedName>
    <definedName name="IQ_EST_EPS_GROWTH_5YR_BOTTOM_UP" hidden="1">"c5487"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REUT" hidden="1">"c3633"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DIFF_REUT" hidden="1">"c5429"</definedName>
    <definedName name="IQ_EST_EPS_GW_SURPRISE_PERCENT" hidden="1">"c1892"</definedName>
    <definedName name="IQ_EST_EPS_GW_SURPRISE_PERCENT_REUT" hidden="1">"c5430"</definedName>
    <definedName name="IQ_EST_EPS_NORM_DIFF" hidden="1">"c2247"</definedName>
    <definedName name="IQ_EST_EPS_NORM_DIFF_REUT" hidden="1">"c5411"</definedName>
    <definedName name="IQ_EST_EPS_NORM_SURPRISE_PERCENT" hidden="1">"c2248"</definedName>
    <definedName name="IQ_EST_EPS_NORM_SURPRISE_PERCENT_REUT" hidden="1">"c5412"</definedName>
    <definedName name="IQ_EST_EPS_REPORT_DIFF" hidden="1">"c1893"</definedName>
    <definedName name="IQ_EST_EPS_REPORT_DIFF_REUT" hidden="1">"c5431"</definedName>
    <definedName name="IQ_EST_EPS_REPORT_SURPRISE_PERCENT" hidden="1">"c1894"</definedName>
    <definedName name="IQ_EST_EPS_REPORT_SURPRISE_PERCENT_REUT" hidden="1">"c5432"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 hidden="1">"c1764"</definedName>
    <definedName name="IQ_EST_EPS_SEQ_GROWTH_Q_REUT" hidden="1">"c3859"</definedName>
    <definedName name="IQ_EST_EPS_SURPRISE_PERCENT" hidden="1">"c1635"</definedName>
    <definedName name="IQ_EST_EPS_SURPRISE_PERCENT_REUT" hidden="1">"c5459"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 hidden="1">"c1869"</definedName>
    <definedName name="IQ_EST_FFO_DIFF_REUT" hidden="1">"c3890"</definedName>
    <definedName name="IQ_EST_FFO_GROWTH_1YR" hidden="1">"c1770"</definedName>
    <definedName name="IQ_EST_FFO_GROWTH_1YR_REUT" hidden="1">"c3874"</definedName>
    <definedName name="IQ_EST_FFO_GROWTH_2YR" hidden="1">"c1771"</definedName>
    <definedName name="IQ_EST_FFO_GROWTH_2YR_REUT" hidden="1">"c3875"</definedName>
    <definedName name="IQ_EST_FFO_GROWTH_Q_1YR" hidden="1">"c1772"</definedName>
    <definedName name="IQ_EST_FFO_GROWTH_Q_1YR_REUT" hidden="1">"c3876"</definedName>
    <definedName name="IQ_EST_FFO_SEQ_GROWTH_Q" hidden="1">"c1773"</definedName>
    <definedName name="IQ_EST_FFO_SEQ_GROWTH_Q_REUT" hidden="1">"c3877"</definedName>
    <definedName name="IQ_EST_FFO_SHARE_DIFF" hidden="1">"c4444"</definedName>
    <definedName name="IQ_EST_FFO_SHARE_GROWTH_1YR" hidden="1">"c4425"</definedName>
    <definedName name="IQ_EST_FFO_SHARE_GROWTH_2YR" hidden="1">"c4426"</definedName>
    <definedName name="IQ_EST_FFO_SHARE_GROWTH_Q_1YR" hidden="1">"c4427"</definedName>
    <definedName name="IQ_EST_FFO_SHARE_SEQ_GROWTH_Q" hidden="1">"c4428"</definedName>
    <definedName name="IQ_EST_FFO_SHARE_SURPRISE_PERCENT" hidden="1">"c4453"</definedName>
    <definedName name="IQ_EST_FFO_SURPRISE_PERCENT" hidden="1">"c1870"</definedName>
    <definedName name="IQ_EST_FFO_SURPRISE_PERCENT_REUT" hidden="1">"c3891"</definedName>
    <definedName name="IQ_EST_FOOTNOTE" hidden="1">"c4540"</definedName>
    <definedName name="IQ_EST_FOOTNOTE_REUT" hidden="1">"c5478"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 hidden="1">"c1895"</definedName>
    <definedName name="IQ_EST_NAV_SHARE_SURPRISE_PERCENT" hidden="1">"c1896"</definedName>
    <definedName name="IQ_EST_NAV_SURPRISE_PERCENT" hidden="1">"c1896"</definedName>
    <definedName name="IQ_EST_NET_DEBT_DIFF" hidden="1">"c4466"</definedName>
    <definedName name="IQ_EST_NET_DEBT_SURPRISE_PERCENT" hidden="1">"c4468"</definedName>
    <definedName name="IQ_EST_NI_DIFF" hidden="1">"c1885"</definedName>
    <definedName name="IQ_EST_NI_DIFF_REUT" hidden="1">"c5423"</definedName>
    <definedName name="IQ_EST_NI_GW_DIFF" hidden="1">"c1887"</definedName>
    <definedName name="IQ_EST_NI_GW_DIFF_REUT" hidden="1">"c5425"</definedName>
    <definedName name="IQ_EST_NI_GW_SURPRISE_PERCENT" hidden="1">"c1888"</definedName>
    <definedName name="IQ_EST_NI_GW_SURPRISE_PERCENT_REUT" hidden="1">"c5426"</definedName>
    <definedName name="IQ_EST_NI_REPORT_DIFF" hidden="1">"c1889"</definedName>
    <definedName name="IQ_EST_NI_REPORT_DIFF_REUT" hidden="1">"c5427"</definedName>
    <definedName name="IQ_EST_NI_REPORT_SURPRISE_PERCENT" hidden="1">"c1890"</definedName>
    <definedName name="IQ_EST_NI_REPORT_SURPRISE_PERCENT_REUT" hidden="1">"c5428"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 hidden="1">"c1886"</definedName>
    <definedName name="IQ_EST_NI_SURPRISE_PERCENT_REUT" hidden="1">"c5424"</definedName>
    <definedName name="IQ_EST_NUM_BUY" hidden="1">"c1759"</definedName>
    <definedName name="IQ_EST_NUM_BUY_REUT" hidden="1">"c3869"</definedName>
    <definedName name="IQ_EST_NUM_HIGH_REC" hidden="1">"c5649"</definedName>
    <definedName name="IQ_EST_NUM_HIGH_REC_REUT" hidden="1">"c3870"</definedName>
    <definedName name="IQ_EST_NUM_HIGHEST_REC" hidden="1">"c5648"</definedName>
    <definedName name="IQ_EST_NUM_HIGHEST_REC_REUT" hidden="1">"c3869"</definedName>
    <definedName name="IQ_EST_NUM_HOLD" hidden="1">"c1761"</definedName>
    <definedName name="IQ_EST_NUM_HOLD_REUT" hidden="1">"c3871"</definedName>
    <definedName name="IQ_EST_NUM_LOW_REC" hidden="1">"c5651"</definedName>
    <definedName name="IQ_EST_NUM_LOW_REC_REUT" hidden="1">"c3872"</definedName>
    <definedName name="IQ_EST_NUM_LOWEST_REC" hidden="1">"c5652"</definedName>
    <definedName name="IQ_EST_NUM_LOWEST_REC_REUT" hidden="1">"c3873"</definedName>
    <definedName name="IQ_EST_NUM_NEUTRAL_REC" hidden="1">"c5650"</definedName>
    <definedName name="IQ_EST_NUM_NEUTRAL_REC_REUT" hidden="1">"c3871"</definedName>
    <definedName name="IQ_EST_NUM_NO_OPINION" hidden="1">"c1758"</definedName>
    <definedName name="IQ_EST_NUM_NO_OPINION_REUT" hidden="1">"c3868"</definedName>
    <definedName name="IQ_EST_NUM_OUTPERFORM" hidden="1">"c1760"</definedName>
    <definedName name="IQ_EST_NUM_OUTPERFORM_REUT" hidden="1">"c3870"</definedName>
    <definedName name="IQ_EST_NUM_SELL" hidden="1">"c1763"</definedName>
    <definedName name="IQ_EST_NUM_SELL_REUT" hidden="1">"c3873"</definedName>
    <definedName name="IQ_EST_NUM_UNDERPERFORM" hidden="1">"c1762"</definedName>
    <definedName name="IQ_EST_NUM_UNDERPERFORM_REUT" hidden="1">"c3872"</definedName>
    <definedName name="IQ_EST_OPER_INC_DIFF" hidden="1">"c1877"</definedName>
    <definedName name="IQ_EST_OPER_INC_DIFF_REUT" hidden="1">"c5415"</definedName>
    <definedName name="IQ_EST_OPER_INC_SURPRISE_PERCENT" hidden="1">"c1878"</definedName>
    <definedName name="IQ_EST_OPER_INC_SURPRISE_PERCENT_REUT" hidden="1">"c5416"</definedName>
    <definedName name="IQ_EST_PRE_TAX_DIFF" hidden="1">"c1879"</definedName>
    <definedName name="IQ_EST_PRE_TAX_DIFF_REUT" hidden="1">"c5417"</definedName>
    <definedName name="IQ_EST_PRE_TAX_GW_DIFF" hidden="1">"c1881"</definedName>
    <definedName name="IQ_EST_PRE_TAX_GW_DIFF_REUT" hidden="1">"c5419"</definedName>
    <definedName name="IQ_EST_PRE_TAX_GW_SURPRISE_PERCENT" hidden="1">"c1882"</definedName>
    <definedName name="IQ_EST_PRE_TAX_GW_SURPRISE_PERCENT_REUT" hidden="1">"c5420"</definedName>
    <definedName name="IQ_EST_PRE_TAX_REPORT_DIFF" hidden="1">"c1883"</definedName>
    <definedName name="IQ_EST_PRE_TAX_REPORT_DIFF_REUT" hidden="1">"c5421"</definedName>
    <definedName name="IQ_EST_PRE_TAX_REPORT_SURPRISE_PERCENT" hidden="1">"c1884"</definedName>
    <definedName name="IQ_EST_PRE_TAX_REPORT_SURPRISE_PERCENT_REUT" hidden="1">"c5422"</definedName>
    <definedName name="IQ_EST_PRE_TAX_SURPRISE_PERCENT" hidden="1">"c1880"</definedName>
    <definedName name="IQ_EST_PRE_TAX_SURPRISE_PERCENT_REUT" hidden="1">"c5418"</definedName>
    <definedName name="IQ_EST_RECURRING_PROFIT_SHARE_DIFF" hidden="1">"c4505"</definedName>
    <definedName name="IQ_EST_RECURRING_PROFIT_SHARE_SURPRISE_PERCENT" hidden="1">"c4515"</definedName>
    <definedName name="IQ_EST_REV_DIFF" hidden="1">"c1865"</definedName>
    <definedName name="IQ_EST_REV_DIFF_REUT" hidden="1">"c3886"</definedName>
    <definedName name="IQ_EST_REV_GROWTH_1YR" hidden="1">"c1638"</definedName>
    <definedName name="IQ_EST_REV_GROWTH_1YR_REUT" hidden="1">"c3860"</definedName>
    <definedName name="IQ_EST_REV_GROWTH_2YR" hidden="1">"c1639"</definedName>
    <definedName name="IQ_EST_REV_GROWTH_2YR_REUT" hidden="1">"c3861"</definedName>
    <definedName name="IQ_EST_REV_GROWTH_Q_1YR" hidden="1">"c1640"</definedName>
    <definedName name="IQ_EST_REV_GROWTH_Q_1YR_REUT" hidden="1">"c3862"</definedName>
    <definedName name="IQ_EST_REV_SEQ_GROWTH_Q" hidden="1">"c1765"</definedName>
    <definedName name="IQ_EST_REV_SEQ_GROWTH_Q_REUT" hidden="1">"c3863"</definedName>
    <definedName name="IQ_EST_REV_SURPRISE_PERCENT" hidden="1">"c1866"</definedName>
    <definedName name="IQ_EST_REV_SURPRISE_PERCENT_REUT" hidden="1">"c3887"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ADJ_EST" hidden="1">"c4434"</definedName>
    <definedName name="IQ_FFO_ADJ_GUIDANCE" hidden="1">"c4436"</definedName>
    <definedName name="IQ_FFO_ADJ_HIGH_EST" hidden="1">"c4437"</definedName>
    <definedName name="IQ_FFO_ADJ_HIGH_GUIDANCE" hidden="1">"c4202"</definedName>
    <definedName name="IQ_FFO_ADJ_LOW_EST" hidden="1">"c4438"</definedName>
    <definedName name="IQ_FFO_ADJ_LOW_GUIDANCE" hidden="1">"c4242"</definedName>
    <definedName name="IQ_FFO_ADJ_MEDIAN_EST" hidden="1">"c4439"</definedName>
    <definedName name="IQ_FFO_ADJ_NUM_EST" hidden="1">"c4440"</definedName>
    <definedName name="IQ_FFO_ADJ_STDDEV_EST" hidden="1">"c4441"</definedName>
    <definedName name="IQ_FFO_EST" hidden="1">"c418"</definedName>
    <definedName name="IQ_FFO_EST_REUT" hidden="1">"c3837"</definedName>
    <definedName name="IQ_FFO_GUIDANCE" hidden="1">"c4443"</definedName>
    <definedName name="IQ_FFO_HIGH_EST" hidden="1">"c419"</definedName>
    <definedName name="IQ_FFO_HIGH_EST_REUT" hidden="1">"c3839"</definedName>
    <definedName name="IQ_FFO_HIGH_GUIDANCE" hidden="1">"c4184"</definedName>
    <definedName name="IQ_FFO_LOW_EST" hidden="1">"c420"</definedName>
    <definedName name="IQ_FFO_LOW_EST_REUT" hidden="1">"c3840"</definedName>
    <definedName name="IQ_FFO_LOW_GUIDANCE" hidden="1">"c4224"</definedName>
    <definedName name="IQ_FFO_MEDIAN_EST" hidden="1">"c1665"</definedName>
    <definedName name="IQ_FFO_MEDIAN_EST_REUT" hidden="1">"c3838"</definedName>
    <definedName name="IQ_FFO_NUM_EST" hidden="1">"c421"</definedName>
    <definedName name="IQ_FFO_NUM_EST_REUT" hidden="1">"c3841"</definedName>
    <definedName name="IQ_FFO_PAYOUT_RATIO" hidden="1">"c3492"</definedName>
    <definedName name="IQ_FFO_SHARE_ACT_OR_EST" hidden="1">"c4446"</definedName>
    <definedName name="IQ_FFO_SHARE_EST" hidden="1">"c4445"</definedName>
    <definedName name="IQ_FFO_SHARE_GUIDANCE" hidden="1">"c4447"</definedName>
    <definedName name="IQ_FFO_SHARE_HIGH_EST" hidden="1">"c4448"</definedName>
    <definedName name="IQ_FFO_SHARE_HIGH_GUIDANCE" hidden="1">"c4203"</definedName>
    <definedName name="IQ_FFO_SHARE_LOW_EST" hidden="1">"c4449"</definedName>
    <definedName name="IQ_FFO_SHARE_LOW_GUIDANCE" hidden="1">"c4243"</definedName>
    <definedName name="IQ_FFO_SHARE_MEDIAN_EST" hidden="1">"c4450"</definedName>
    <definedName name="IQ_FFO_SHARE_NUM_EST" hidden="1">"c4451"</definedName>
    <definedName name="IQ_FFO_SHARE_STDDEV_EST" hidden="1">"c4452"</definedName>
    <definedName name="IQ_FFO_STDDEV_EST" hidden="1">"c422"</definedName>
    <definedName name="IQ_FFO_STDDEV_EST_REUT" hidden="1">"c3842"</definedName>
    <definedName name="IQ_FH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MARGIN_ACT_OR_EST" hidden="1">"c5554"</definedName>
    <definedName name="IQ_GROSS_MARGIN_EST" hidden="1">"c5547"</definedName>
    <definedName name="IQ_GROSS_MARGIN_HIGH_EST" hidden="1">"c5549"</definedName>
    <definedName name="IQ_GROSS_MARGIN_LOW_EST" hidden="1">"c5550"</definedName>
    <definedName name="IQ_GROSS_MARGIN_MEDIAN_EST" hidden="1">"c5548"</definedName>
    <definedName name="IQ_GROSS_MARGIN_NUM_EST" hidden="1">"c5551"</definedName>
    <definedName name="IQ_GROSS_MARGIN_STDDEV_EST" hidden="1">"c5552"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DAYS_REV_OUT" hidden="1">"c5993"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SALARIES_PCT_REV" hidden="1">"c5970"</definedName>
    <definedName name="IQ_HC_SUPPLIES_PCT_REV" hidden="1">"c5971"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IGH_TARGET_PRICE" hidden="1">"c1651"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" hidden="1">"c6225"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CAPEX_EST" hidden="1">"c4457"</definedName>
    <definedName name="IQ_MAINT_CAPEX_GUIDANCE" hidden="1">"c4459"</definedName>
    <definedName name="IQ_MAINT_CAPEX_HIGH_EST" hidden="1">"c4460"</definedName>
    <definedName name="IQ_MAINT_CAPEX_HIGH_GUIDANCE" hidden="1">"c4197"</definedName>
    <definedName name="IQ_MAINT_CAPEX_LOW_EST" hidden="1">"c4461"</definedName>
    <definedName name="IQ_MAINT_CAPEX_LOW_GUIDANCE" hidden="1">"c4237"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"06/29/2017 16:45:33"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HARE_ACT_OR_EST" hidden="1">"c2225"</definedName>
    <definedName name="IQ_NAV_SHARE_ACT_OR_EST_REUT" hidden="1">"c5623"</definedName>
    <definedName name="IQ_NAV_SHARE_EST" hidden="1">"c5609"</definedName>
    <definedName name="IQ_NAV_SHARE_EST_REUT" hidden="1">"c5617"</definedName>
    <definedName name="IQ_NAV_SHARE_HIGH_EST" hidden="1">"c5612"</definedName>
    <definedName name="IQ_NAV_SHARE_HIGH_EST_REUT" hidden="1">"c5620"</definedName>
    <definedName name="IQ_NAV_SHARE_LOW_EST" hidden="1">"c5613"</definedName>
    <definedName name="IQ_NAV_SHARE_LOW_EST_REUT" hidden="1">"c5621"</definedName>
    <definedName name="IQ_NAV_SHARE_MEDIAN_EST" hidden="1">"c5610"</definedName>
    <definedName name="IQ_NAV_SHARE_MEDIAN_EST_REUT" hidden="1">"c5618"</definedName>
    <definedName name="IQ_NAV_SHARE_NUM_EST" hidden="1">"c5614"</definedName>
    <definedName name="IQ_NAV_SHARE_NUM_EST_REUT" hidden="1">"c5622"</definedName>
    <definedName name="IQ_NAV_SHARE_STDDEV_EST" hidden="1">"c5611"</definedName>
    <definedName name="IQ_NAV_SHARE_STDDEV_EST_REUT" hidden="1">"c5619"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REUT" hidden="1">"c5473"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REUT" hidden="1">"c3976"</definedName>
    <definedName name="IQ_NET_DEBT_GUIDANCE" hidden="1">"c4467"</definedName>
    <definedName name="IQ_NET_DEBT_HIGH_EST" hidden="1">"c3518"</definedName>
    <definedName name="IQ_NET_DEBT_HIGH_EST_REUT" hidden="1">"c3978"</definedName>
    <definedName name="IQ_NET_DEBT_HIGH_GUIDANCE" hidden="1">"c4181"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REUT" hidden="1">"c3979"</definedName>
    <definedName name="IQ_NET_DEBT_LOW_GUIDANCE" hidden="1">"c4221"</definedName>
    <definedName name="IQ_NET_DEBT_MEDIAN_EST" hidden="1">"c3520"</definedName>
    <definedName name="IQ_NET_DEBT_MEDIAN_EST_REUT" hidden="1">"c3977"</definedName>
    <definedName name="IQ_NET_DEBT_NUM_EST" hidden="1">"c3515"</definedName>
    <definedName name="IQ_NET_DEBT_NUM_EST_REUT" hidden="1">"c3980"</definedName>
    <definedName name="IQ_NET_DEBT_STDDEV_EST" hidden="1">"c3516"</definedName>
    <definedName name="IQ_NET_DEBT_STDDEV_EST_REUT" hidden="1">"c3981"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EST_REUT" hidden="1">"c5368"</definedName>
    <definedName name="IQ_NI_GAAP_GUIDANCE" hidden="1">"c4470"</definedName>
    <definedName name="IQ_NI_GAAP_HIGH_GUIDANCE" hidden="1">"c4177"</definedName>
    <definedName name="IQ_NI_GAAP_LOW_GUIDANCE" hidden="1">"c4217"</definedName>
    <definedName name="IQ_NI_GUIDANCE" hidden="1">"c4469"</definedName>
    <definedName name="IQ_NI_GW_EST" hidden="1">"c1723"</definedName>
    <definedName name="IQ_NI_GW_EST_REUT" hidden="1">"c5375"</definedName>
    <definedName name="IQ_NI_GW_GUIDANCE" hidden="1">"c4471"</definedName>
    <definedName name="IQ_NI_GW_HIGH_EST" hidden="1">"c1725"</definedName>
    <definedName name="IQ_NI_GW_HIGH_EST_REUT" hidden="1">"c5377"</definedName>
    <definedName name="IQ_NI_GW_HIGH_GUIDANCE" hidden="1">"c4178"</definedName>
    <definedName name="IQ_NI_GW_LOW_EST" hidden="1">"c1726"</definedName>
    <definedName name="IQ_NI_GW_LOW_EST_REUT" hidden="1">"c5378"</definedName>
    <definedName name="IQ_NI_GW_LOW_GUIDANCE" hidden="1">"c4218"</definedName>
    <definedName name="IQ_NI_GW_MEDIAN_EST" hidden="1">"c1724"</definedName>
    <definedName name="IQ_NI_GW_MEDIAN_EST_REUT" hidden="1">"c5376"</definedName>
    <definedName name="IQ_NI_GW_NUM_EST" hidden="1">"c1727"</definedName>
    <definedName name="IQ_NI_GW_NUM_EST_REUT" hidden="1">"c5379"</definedName>
    <definedName name="IQ_NI_GW_STDDEV_EST" hidden="1">"c1728"</definedName>
    <definedName name="IQ_NI_GW_STDDEV_EST_REUT" hidden="1">"c5380"</definedName>
    <definedName name="IQ_NI_HIGH_EST" hidden="1">"c1718"</definedName>
    <definedName name="IQ_NI_HIGH_EST_REUT" hidden="1">"c5370"</definedName>
    <definedName name="IQ_NI_HIGH_GUIDANCE" hidden="1">"c4176"</definedName>
    <definedName name="IQ_NI_LOW_EST" hidden="1">"c1719"</definedName>
    <definedName name="IQ_NI_LOW_EST_REUT" hidden="1">"c5371"</definedName>
    <definedName name="IQ_NI_LOW_GUIDANCE" hidden="1">"c4216"</definedName>
    <definedName name="IQ_NI_MARGIN" hidden="1">"c794"</definedName>
    <definedName name="IQ_NI_MEDIAN_EST" hidden="1">"c1717"</definedName>
    <definedName name="IQ_NI_MEDIAN_EST_REUT" hidden="1">"c5369"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REUT" hidden="1">"c5372"</definedName>
    <definedName name="IQ_NI_REPORTED_EST" hidden="1">"c1730"</definedName>
    <definedName name="IQ_NI_REPORTED_EST_REUT" hidden="1">"c5382"</definedName>
    <definedName name="IQ_NI_REPORTED_HIGH_EST" hidden="1">"c1732"</definedName>
    <definedName name="IQ_NI_REPORTED_HIGH_EST_REUT" hidden="1">"c5384"</definedName>
    <definedName name="IQ_NI_REPORTED_LOW_EST" hidden="1">"c1733"</definedName>
    <definedName name="IQ_NI_REPORTED_LOW_EST_REUT" hidden="1">"c5385"</definedName>
    <definedName name="IQ_NI_REPORTED_MEDIAN_EST" hidden="1">"c1731"</definedName>
    <definedName name="IQ_NI_REPORTED_MEDIAN_EST_REUT" hidden="1">"c5383"</definedName>
    <definedName name="IQ_NI_REPORTED_NUM_EST" hidden="1">"c1734"</definedName>
    <definedName name="IQ_NI_REPORTED_NUM_EST_REUT" hidden="1">"c5386"</definedName>
    <definedName name="IQ_NI_REPORTED_STDDEV_EST" hidden="1">"c1735"</definedName>
    <definedName name="IQ_NI_REPORTED_STDDEV_EST_REUT" hidden="1">"c5387"</definedName>
    <definedName name="IQ_NI_SBC_ACT_OR_EST" hidden="1">"c4474"</definedName>
    <definedName name="IQ_NI_SBC_EST" hidden="1">"c4473"</definedName>
    <definedName name="IQ_NI_SBC_GUIDANCE" hidden="1">"c4475"</definedName>
    <definedName name="IQ_NI_SBC_GW_ACT_OR_EST" hidden="1">"c4478"</definedName>
    <definedName name="IQ_NI_SBC_GW_EST" hidden="1">"c4477"</definedName>
    <definedName name="IQ_NI_SBC_GW_GUIDANCE" hidden="1">"c4479"</definedName>
    <definedName name="IQ_NI_SBC_GW_HIGH_EST" hidden="1">"c4480"</definedName>
    <definedName name="IQ_NI_SBC_GW_HIGH_GUIDANCE" hidden="1">"c4187"</definedName>
    <definedName name="IQ_NI_SBC_GW_LOW_EST" hidden="1">"c4481"</definedName>
    <definedName name="IQ_NI_SBC_GW_LOW_GUIDANCE" hidden="1">"c4227"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LOW_EST" hidden="1">"c4487"</definedName>
    <definedName name="IQ_NI_SBC_LOW_GUIDANCE" hidden="1">"c4226"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REUT" hidden="1">"c5373"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BR" hidden="1">"c850"</definedName>
    <definedName name="IQ_OPER_INC_EST" hidden="1">"c1688"</definedName>
    <definedName name="IQ_OPER_INC_EST_REUT" hidden="1">"c5340"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MARGIN" hidden="1">"c1448"</definedName>
    <definedName name="IQ_OPER_INC_MEDIAN_EST" hidden="1">"c1689"</definedName>
    <definedName name="IQ_OPER_INC_MEDIAN_EST_REUT" hidden="1">"c5341"</definedName>
    <definedName name="IQ_OPER_INC_NUM_EST" hidden="1">"c1692"</definedName>
    <definedName name="IQ_OPER_INC_NUM_EST_REUT" hidden="1">"c5344"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REUT" hidden="1">"c3959"</definedName>
    <definedName name="IQ_PERCENT_CHANGE_EST_5YR_GROWTH_RATE_18MONTHS" hidden="1">"c1853"</definedName>
    <definedName name="IQ_PERCENT_CHANGE_EST_5YR_GROWTH_RATE_18MONTHS_REUT" hidden="1">"c3960"</definedName>
    <definedName name="IQ_PERCENT_CHANGE_EST_5YR_GROWTH_RATE_3MONTHS" hidden="1">"c1849"</definedName>
    <definedName name="IQ_PERCENT_CHANGE_EST_5YR_GROWTH_RATE_3MONTHS_REUT" hidden="1">"c3956"</definedName>
    <definedName name="IQ_PERCENT_CHANGE_EST_5YR_GROWTH_RATE_6MONTHS" hidden="1">"c1850"</definedName>
    <definedName name="IQ_PERCENT_CHANGE_EST_5YR_GROWTH_RATE_6MONTHS_REUT" hidden="1">"c3957"</definedName>
    <definedName name="IQ_PERCENT_CHANGE_EST_5YR_GROWTH_RATE_9MONTHS" hidden="1">"c1851"</definedName>
    <definedName name="IQ_PERCENT_CHANGE_EST_5YR_GROWTH_RATE_9MONTHS_REUT" hidden="1">"c3958"</definedName>
    <definedName name="IQ_PERCENT_CHANGE_EST_5YR_GROWTH_RATE_DAY" hidden="1">"c1846"</definedName>
    <definedName name="IQ_PERCENT_CHANGE_EST_5YR_GROWTH_RATE_DAY_REUT" hidden="1">"c3954"</definedName>
    <definedName name="IQ_PERCENT_CHANGE_EST_5YR_GROWTH_RATE_MONTH" hidden="1">"c1848"</definedName>
    <definedName name="IQ_PERCENT_CHANGE_EST_5YR_GROWTH_RATE_MONTH_REUT" hidden="1">"c3955"</definedName>
    <definedName name="IQ_PERCENT_CHANGE_EST_5YR_GROWTH_RATE_WEEK" hidden="1">"c1847"</definedName>
    <definedName name="IQ_PERCENT_CHANGE_EST_5YR_GROWTH_RATE_WEEK_REUT" hidden="1">"c5435"</definedName>
    <definedName name="IQ_PERCENT_CHANGE_EST_CFPS_12MONTHS" hidden="1">"c1812"</definedName>
    <definedName name="IQ_PERCENT_CHANGE_EST_CFPS_12MONTHS_REUT" hidden="1">"c3924"</definedName>
    <definedName name="IQ_PERCENT_CHANGE_EST_CFPS_18MONTHS" hidden="1">"c1813"</definedName>
    <definedName name="IQ_PERCENT_CHANGE_EST_CFPS_18MONTHS_REUT" hidden="1">"c3925"</definedName>
    <definedName name="IQ_PERCENT_CHANGE_EST_CFPS_3MONTHS" hidden="1">"c1809"</definedName>
    <definedName name="IQ_PERCENT_CHANGE_EST_CFPS_3MONTHS_REUT" hidden="1">"c3921"</definedName>
    <definedName name="IQ_PERCENT_CHANGE_EST_CFPS_6MONTHS" hidden="1">"c1810"</definedName>
    <definedName name="IQ_PERCENT_CHANGE_EST_CFPS_6MONTHS_REUT" hidden="1">"c3922"</definedName>
    <definedName name="IQ_PERCENT_CHANGE_EST_CFPS_9MONTHS" hidden="1">"c1811"</definedName>
    <definedName name="IQ_PERCENT_CHANGE_EST_CFPS_9MONTHS_REUT" hidden="1">"c3923"</definedName>
    <definedName name="IQ_PERCENT_CHANGE_EST_CFPS_DAY" hidden="1">"c1806"</definedName>
    <definedName name="IQ_PERCENT_CHANGE_EST_CFPS_DAY_REUT" hidden="1">"c3919"</definedName>
    <definedName name="IQ_PERCENT_CHANGE_EST_CFPS_MONTH" hidden="1">"c1808"</definedName>
    <definedName name="IQ_PERCENT_CHANGE_EST_CFPS_MONTH_REUT" hidden="1">"c3920"</definedName>
    <definedName name="IQ_PERCENT_CHANGE_EST_CFPS_WEEK" hidden="1">"c1807"</definedName>
    <definedName name="IQ_PERCENT_CHANGE_EST_CFPS_WEEK_REUT" hidden="1">"c3962"</definedName>
    <definedName name="IQ_PERCENT_CHANGE_EST_DPS_12MONTHS" hidden="1">"c1820"</definedName>
    <definedName name="IQ_PERCENT_CHANGE_EST_DPS_12MONTHS_REUT" hidden="1">"c3931"</definedName>
    <definedName name="IQ_PERCENT_CHANGE_EST_DPS_18MONTHS" hidden="1">"c1821"</definedName>
    <definedName name="IQ_PERCENT_CHANGE_EST_DPS_18MONTHS_REUT" hidden="1">"c3932"</definedName>
    <definedName name="IQ_PERCENT_CHANGE_EST_DPS_3MONTHS" hidden="1">"c1817"</definedName>
    <definedName name="IQ_PERCENT_CHANGE_EST_DPS_3MONTHS_REUT" hidden="1">"c3928"</definedName>
    <definedName name="IQ_PERCENT_CHANGE_EST_DPS_6MONTHS" hidden="1">"c1818"</definedName>
    <definedName name="IQ_PERCENT_CHANGE_EST_DPS_6MONTHS_REUT" hidden="1">"c3929"</definedName>
    <definedName name="IQ_PERCENT_CHANGE_EST_DPS_9MONTHS" hidden="1">"c1819"</definedName>
    <definedName name="IQ_PERCENT_CHANGE_EST_DPS_9MONTHS_REUT" hidden="1">"c3930"</definedName>
    <definedName name="IQ_PERCENT_CHANGE_EST_DPS_DAY" hidden="1">"c1814"</definedName>
    <definedName name="IQ_PERCENT_CHANGE_EST_DPS_DAY_REUT" hidden="1">"c3926"</definedName>
    <definedName name="IQ_PERCENT_CHANGE_EST_DPS_MONTH" hidden="1">"c1816"</definedName>
    <definedName name="IQ_PERCENT_CHANGE_EST_DPS_MONTH_REUT" hidden="1">"c3927"</definedName>
    <definedName name="IQ_PERCENT_CHANGE_EST_DPS_WEEK" hidden="1">"c1815"</definedName>
    <definedName name="IQ_PERCENT_CHANGE_EST_DPS_WEEK_REUT" hidden="1">"c3963"</definedName>
    <definedName name="IQ_PERCENT_CHANGE_EST_EBITDA_12MONTHS" hidden="1">"c1804"</definedName>
    <definedName name="IQ_PERCENT_CHANGE_EST_EBITDA_12MONTHS_REUT" hidden="1">"c3917"</definedName>
    <definedName name="IQ_PERCENT_CHANGE_EST_EBITDA_18MONTHS" hidden="1">"c1805"</definedName>
    <definedName name="IQ_PERCENT_CHANGE_EST_EBITDA_18MONTHS_REUT" hidden="1">"c3918"</definedName>
    <definedName name="IQ_PERCENT_CHANGE_EST_EBITDA_3MONTHS" hidden="1">"c1801"</definedName>
    <definedName name="IQ_PERCENT_CHANGE_EST_EBITDA_3MONTHS_REUT" hidden="1">"c3914"</definedName>
    <definedName name="IQ_PERCENT_CHANGE_EST_EBITDA_6MONTHS" hidden="1">"c1802"</definedName>
    <definedName name="IQ_PERCENT_CHANGE_EST_EBITDA_6MONTHS_REUT" hidden="1">"c3915"</definedName>
    <definedName name="IQ_PERCENT_CHANGE_EST_EBITDA_9MONTHS" hidden="1">"c1803"</definedName>
    <definedName name="IQ_PERCENT_CHANGE_EST_EBITDA_9MONTHS_REUT" hidden="1">"c3916"</definedName>
    <definedName name="IQ_PERCENT_CHANGE_EST_EBITDA_DAY" hidden="1">"c1798"</definedName>
    <definedName name="IQ_PERCENT_CHANGE_EST_EBITDA_DAY_REUT" hidden="1">"c3912"</definedName>
    <definedName name="IQ_PERCENT_CHANGE_EST_EBITDA_MONTH" hidden="1">"c1800"</definedName>
    <definedName name="IQ_PERCENT_CHANGE_EST_EBITDA_MONTH_REUT" hidden="1">"c3913"</definedName>
    <definedName name="IQ_PERCENT_CHANGE_EST_EBITDA_WEEK" hidden="1">"c1799"</definedName>
    <definedName name="IQ_PERCENT_CHANGE_EST_EBITDA_WEEK_REUT" hidden="1">"c3961"</definedName>
    <definedName name="IQ_PERCENT_CHANGE_EST_EPS_12MONTHS" hidden="1">"c1788"</definedName>
    <definedName name="IQ_PERCENT_CHANGE_EST_EPS_12MONTHS_REUT" hidden="1">"c3902"</definedName>
    <definedName name="IQ_PERCENT_CHANGE_EST_EPS_18MONTHS" hidden="1">"c1789"</definedName>
    <definedName name="IQ_PERCENT_CHANGE_EST_EPS_18MONTHS_REUT" hidden="1">"c3903"</definedName>
    <definedName name="IQ_PERCENT_CHANGE_EST_EPS_3MONTHS" hidden="1">"c1785"</definedName>
    <definedName name="IQ_PERCENT_CHANGE_EST_EPS_3MONTHS_REUT" hidden="1">"c3899"</definedName>
    <definedName name="IQ_PERCENT_CHANGE_EST_EPS_6MONTHS" hidden="1">"c1786"</definedName>
    <definedName name="IQ_PERCENT_CHANGE_EST_EPS_6MONTHS_REUT" hidden="1">"c3900"</definedName>
    <definedName name="IQ_PERCENT_CHANGE_EST_EPS_9MONTHS" hidden="1">"c1787"</definedName>
    <definedName name="IQ_PERCENT_CHANGE_EST_EPS_9MONTHS_REUT" hidden="1">"c3901"</definedName>
    <definedName name="IQ_PERCENT_CHANGE_EST_EPS_DAY" hidden="1">"c1782"</definedName>
    <definedName name="IQ_PERCENT_CHANGE_EST_EPS_DAY_REUT" hidden="1">"c3896"</definedName>
    <definedName name="IQ_PERCENT_CHANGE_EST_EPS_MONTH" hidden="1">"c1784"</definedName>
    <definedName name="IQ_PERCENT_CHANGE_EST_EPS_MONTH_REUT" hidden="1">"c3898"</definedName>
    <definedName name="IQ_PERCENT_CHANGE_EST_EPS_WEEK" hidden="1">"c1783"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WEEK" hidden="1">"c1823"</definedName>
    <definedName name="IQ_PERCENT_CHANGE_EST_FFO_WEEK_REUT" hidden="1">"c3964"</definedName>
    <definedName name="IQ_PERCENT_CHANGE_EST_PRICE_TARGET_12MONTHS" hidden="1">"c1844"</definedName>
    <definedName name="IQ_PERCENT_CHANGE_EST_PRICE_TARGET_12MONTHS_REUT" hidden="1">"c3952"</definedName>
    <definedName name="IQ_PERCENT_CHANGE_EST_PRICE_TARGET_18MONTHS" hidden="1">"c1845"</definedName>
    <definedName name="IQ_PERCENT_CHANGE_EST_PRICE_TARGET_18MONTHS_REUT" hidden="1">"c3953"</definedName>
    <definedName name="IQ_PERCENT_CHANGE_EST_PRICE_TARGET_3MONTHS" hidden="1">"c1841"</definedName>
    <definedName name="IQ_PERCENT_CHANGE_EST_PRICE_TARGET_3MONTHS_REUT" hidden="1">"c3949"</definedName>
    <definedName name="IQ_PERCENT_CHANGE_EST_PRICE_TARGET_6MONTHS" hidden="1">"c1842"</definedName>
    <definedName name="IQ_PERCENT_CHANGE_EST_PRICE_TARGET_6MONTHS_REUT" hidden="1">"c3950"</definedName>
    <definedName name="IQ_PERCENT_CHANGE_EST_PRICE_TARGET_9MONTHS" hidden="1">"c1843"</definedName>
    <definedName name="IQ_PERCENT_CHANGE_EST_PRICE_TARGET_9MONTHS_REUT" hidden="1">"c3951"</definedName>
    <definedName name="IQ_PERCENT_CHANGE_EST_PRICE_TARGET_DAY" hidden="1">"c1838"</definedName>
    <definedName name="IQ_PERCENT_CHANGE_EST_PRICE_TARGET_DAY_REUT" hidden="1">"c3947"</definedName>
    <definedName name="IQ_PERCENT_CHANGE_EST_PRICE_TARGET_MONTH" hidden="1">"c1840"</definedName>
    <definedName name="IQ_PERCENT_CHANGE_EST_PRICE_TARGET_MONTH_REUT" hidden="1">"c3948"</definedName>
    <definedName name="IQ_PERCENT_CHANGE_EST_PRICE_TARGET_WEEK" hidden="1">"c1839"</definedName>
    <definedName name="IQ_PERCENT_CHANGE_EST_PRICE_TARGET_WEEK_REUT" hidden="1">"c3967"</definedName>
    <definedName name="IQ_PERCENT_CHANGE_EST_RECO_12MONTHS" hidden="1">"c1836"</definedName>
    <definedName name="IQ_PERCENT_CHANGE_EST_RECO_12MONTHS_REUT" hidden="1">"c3945"</definedName>
    <definedName name="IQ_PERCENT_CHANGE_EST_RECO_18MONTHS" hidden="1">"c1837"</definedName>
    <definedName name="IQ_PERCENT_CHANGE_EST_RECO_18MONTHS_REUT" hidden="1">"c3946"</definedName>
    <definedName name="IQ_PERCENT_CHANGE_EST_RECO_3MONTHS" hidden="1">"c1833"</definedName>
    <definedName name="IQ_PERCENT_CHANGE_EST_RECO_3MONTHS_REUT" hidden="1">"c3942"</definedName>
    <definedName name="IQ_PERCENT_CHANGE_EST_RECO_6MONTHS" hidden="1">"c1834"</definedName>
    <definedName name="IQ_PERCENT_CHANGE_EST_RECO_6MONTHS_REUT" hidden="1">"c3943"</definedName>
    <definedName name="IQ_PERCENT_CHANGE_EST_RECO_9MONTHS" hidden="1">"c1835"</definedName>
    <definedName name="IQ_PERCENT_CHANGE_EST_RECO_9MONTHS_REUT" hidden="1">"c3944"</definedName>
    <definedName name="IQ_PERCENT_CHANGE_EST_RECO_DAY" hidden="1">"c1830"</definedName>
    <definedName name="IQ_PERCENT_CHANGE_EST_RECO_DAY_REUT" hidden="1">"c3940"</definedName>
    <definedName name="IQ_PERCENT_CHANGE_EST_RECO_MONTH" hidden="1">"c1832"</definedName>
    <definedName name="IQ_PERCENT_CHANGE_EST_RECO_MONTH_REUT" hidden="1">"c3941"</definedName>
    <definedName name="IQ_PERCENT_CHANGE_EST_RECO_WEEK" hidden="1">"c1831"</definedName>
    <definedName name="IQ_PERCENT_CHANGE_EST_RECO_WEEK_REUT" hidden="1">"c3965"</definedName>
    <definedName name="IQ_PERCENT_CHANGE_EST_REV_12MONTHS" hidden="1">"c1796"</definedName>
    <definedName name="IQ_PERCENT_CHANGE_EST_REV_12MONTHS_REUT" hidden="1">"c3910"</definedName>
    <definedName name="IQ_PERCENT_CHANGE_EST_REV_18MONTHS" hidden="1">"c1797"</definedName>
    <definedName name="IQ_PERCENT_CHANGE_EST_REV_18MONTHS_REUT" hidden="1">"c3911"</definedName>
    <definedName name="IQ_PERCENT_CHANGE_EST_REV_3MONTHS" hidden="1">"c1793"</definedName>
    <definedName name="IQ_PERCENT_CHANGE_EST_REV_3MONTHS_REUT" hidden="1">"c3907"</definedName>
    <definedName name="IQ_PERCENT_CHANGE_EST_REV_6MONTHS" hidden="1">"c1794"</definedName>
    <definedName name="IQ_PERCENT_CHANGE_EST_REV_6MONTHS_REUT" hidden="1">"c3908"</definedName>
    <definedName name="IQ_PERCENT_CHANGE_EST_REV_9MONTHS" hidden="1">"c1795"</definedName>
    <definedName name="IQ_PERCENT_CHANGE_EST_REV_9MONTHS_REUT" hidden="1">"c3909"</definedName>
    <definedName name="IQ_PERCENT_CHANGE_EST_REV_DAY" hidden="1">"c1790"</definedName>
    <definedName name="IQ_PERCENT_CHANGE_EST_REV_DAY_REUT" hidden="1">"c3904"</definedName>
    <definedName name="IQ_PERCENT_CHANGE_EST_REV_MONTH" hidden="1">"c1792"</definedName>
    <definedName name="IQ_PERCENT_CHANGE_EST_REV_MONTH_REUT" hidden="1">"c3906"</definedName>
    <definedName name="IQ_PERCENT_CHANGE_EST_REV_WEEK" hidden="1">"c1791"</definedName>
    <definedName name="IQ_PERCENT_CHANGE_EST_REV_WEEK_REUT" hidden="1">"c3905"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REUT" hidden="1">"c3968"</definedName>
    <definedName name="IQ_PRE_OPEN_COST" hidden="1">"c1040"</definedName>
    <definedName name="IQ_PRE_TAX_ACT_OR_EST" hidden="1">"c2221"</definedName>
    <definedName name="IQ_PRE_TAX_ACT_OR_EST_REUT" hidden="1">"c5467"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EST_REUT" hidden="1">"c5354"</definedName>
    <definedName name="IQ_PRETAX_GW_INC_HIGH_EST" hidden="1">"c1704"</definedName>
    <definedName name="IQ_PRETAX_GW_INC_HIGH_EST_REUT" hidden="1">"c5356"</definedName>
    <definedName name="IQ_PRETAX_GW_INC_LOW_EST" hidden="1">"c1705"</definedName>
    <definedName name="IQ_PRETAX_GW_INC_LOW_EST_REUT" hidden="1">"c5357"</definedName>
    <definedName name="IQ_PRETAX_GW_INC_MEDIAN_EST" hidden="1">"c1703"</definedName>
    <definedName name="IQ_PRETAX_GW_INC_MEDIAN_EST_REUT" hidden="1">"c5355"</definedName>
    <definedName name="IQ_PRETAX_GW_INC_NUM_EST" hidden="1">"c1706"</definedName>
    <definedName name="IQ_PRETAX_GW_INC_NUM_EST_REUT" hidden="1">"c5358"</definedName>
    <definedName name="IQ_PRETAX_GW_INC_STDDEV_EST" hidden="1">"c1707"</definedName>
    <definedName name="IQ_PRETAX_GW_INC_STDDEV_EST_REUT" hidden="1">"c5359"</definedName>
    <definedName name="IQ_PRETAX_INC_EST" hidden="1">"c1695"</definedName>
    <definedName name="IQ_PRETAX_INC_EST_REUT" hidden="1">"c5347"</definedName>
    <definedName name="IQ_PRETAX_INC_HIGH_EST" hidden="1">"c1697"</definedName>
    <definedName name="IQ_PRETAX_INC_HIGH_EST_REUT" hidden="1">"c5349"</definedName>
    <definedName name="IQ_PRETAX_INC_LOW_EST" hidden="1">"c1698"</definedName>
    <definedName name="IQ_PRETAX_INC_LOW_EST_REUT" hidden="1">"c5350"</definedName>
    <definedName name="IQ_PRETAX_INC_MEDIAN_EST" hidden="1">"c1696"</definedName>
    <definedName name="IQ_PRETAX_INC_MEDIAN_EST_REUT" hidden="1">"c5348"</definedName>
    <definedName name="IQ_PRETAX_INC_NUM_EST" hidden="1">"c1699"</definedName>
    <definedName name="IQ_PRETAX_INC_NUM_EST_REUT" hidden="1">"c5351"</definedName>
    <definedName name="IQ_PRETAX_INC_STDDEV_EST" hidden="1">"c1700"</definedName>
    <definedName name="IQ_PRETAX_INC_STDDEV_EST_REUT" hidden="1">"c5352"</definedName>
    <definedName name="IQ_PRETAX_REPORT_INC_EST" hidden="1">"c1709"</definedName>
    <definedName name="IQ_PRETAX_REPORT_INC_EST_REUT" hidden="1">"c5361"</definedName>
    <definedName name="IQ_PRETAX_REPORT_INC_HIGH_EST" hidden="1">"c1711"</definedName>
    <definedName name="IQ_PRETAX_REPORT_INC_HIGH_EST_REUT" hidden="1">"c5363"</definedName>
    <definedName name="IQ_PRETAX_REPORT_INC_LOW_EST" hidden="1">"c1712"</definedName>
    <definedName name="IQ_PRETAX_REPORT_INC_LOW_EST_REUT" hidden="1">"c5364"</definedName>
    <definedName name="IQ_PRETAX_REPORT_INC_MEDIAN_EST" hidden="1">"c1710"</definedName>
    <definedName name="IQ_PRETAX_REPORT_INC_MEDIAN_EST_REUT" hidden="1">"c5362"</definedName>
    <definedName name="IQ_PRETAX_REPORT_INC_NUM_EST" hidden="1">"c1713"</definedName>
    <definedName name="IQ_PRETAX_REPORT_INC_NUM_EST_REUT" hidden="1">"c5365"</definedName>
    <definedName name="IQ_PRETAX_REPORT_INC_STDDEV_EST" hidden="1">"c1714"</definedName>
    <definedName name="IQ_PRETAX_REPORT_INC_STDDEV_EST_REUT" hidden="1">"c5366"</definedName>
    <definedName name="IQ_PRICE_CFPS_FWD" hidden="1">"c2237"</definedName>
    <definedName name="IQ_PRICE_CFPS_FWD_REUT" hidden="1">"c4053"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BOTTOM_UP" hidden="1">"c5486"</definedName>
    <definedName name="IQ_PRICE_TARGET_BOTTOM_UP_REUT" hidden="1">"c5494"</definedName>
    <definedName name="IQ_PRICE_TARGET_REUT" hidden="1">"c3631"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 hidden="1">"c1069"</definedName>
    <definedName name="IQ_PRICING_DATE" hidden="1">"c1613"</definedName>
    <definedName name="IQ_PRIMARY_EPS_TYPE" hidden="1">"c4498"</definedName>
    <definedName name="IQ_PRIMARY_EPS_TYPE_REUT" hidden="1">"c5481"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EST" hidden="1">"c4499"</definedName>
    <definedName name="IQ_RECURRING_PROFIT_GUIDANCE" hidden="1">"c4500"</definedName>
    <definedName name="IQ_RECURRING_PROFIT_HIGH_EST" hidden="1">"c4501"</definedName>
    <definedName name="IQ_RECURRING_PROFIT_HIGH_GUIDANCE" hidden="1">"c4179"</definedName>
    <definedName name="IQ_RECURRING_PROFIT_LOW_EST" hidden="1">"c4502"</definedName>
    <definedName name="IQ_RECURRING_PROFIT_LOW_GUIDANCE" hidden="1">"c4219"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EST" hidden="1">"c4506"</definedName>
    <definedName name="IQ_RECURRING_PROFIT_SHARE_GUIDANCE" hidden="1">"c4509"</definedName>
    <definedName name="IQ_RECURRING_PROFIT_SHARE_HIGH_EST" hidden="1">"c4510"</definedName>
    <definedName name="IQ_RECURRING_PROFIT_SHARE_HIGH_GUIDANCE" hidden="1">"c4200"</definedName>
    <definedName name="IQ_RECURRING_PROFIT_SHARE_LOW_EST" hidden="1">"c4511"</definedName>
    <definedName name="IQ_RECURRING_PROFIT_SHARE_LOW_GUIDANCE" hidden="1">"c4240"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ACT_OR_EST" hidden="1">"c3585"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REUT" hidden="1">"c3990"</definedName>
    <definedName name="IQ_RETURN_ASSETS_FS" hidden="1">"c1116"</definedName>
    <definedName name="IQ_RETURN_ASSETS_GUIDANCE" hidden="1">"c4517"</definedName>
    <definedName name="IQ_RETURN_ASSETS_HIGH_EST" hidden="1">"c3530"</definedName>
    <definedName name="IQ_RETURN_ASSETS_HIGH_EST_REUT" hidden="1">"c3992"</definedName>
    <definedName name="IQ_RETURN_ASSETS_HIGH_GUIDANCE" hidden="1">"c4183"</definedName>
    <definedName name="IQ_RETURN_ASSETS_LOW_EST" hidden="1">"c3531"</definedName>
    <definedName name="IQ_RETURN_ASSETS_LOW_EST_REUT" hidden="1">"c3993"</definedName>
    <definedName name="IQ_RETURN_ASSETS_LOW_GUIDANCE" hidden="1">"c4223"</definedName>
    <definedName name="IQ_RETURN_ASSETS_MEDIAN_EST" hidden="1">"c3532"</definedName>
    <definedName name="IQ_RETURN_ASSETS_MEDIAN_EST_REUT" hidden="1">"c3991"</definedName>
    <definedName name="IQ_RETURN_ASSETS_NUM_EST" hidden="1">"c3527"</definedName>
    <definedName name="IQ_RETURN_ASSETS_NUM_EST_REUT" hidden="1">"c3994"</definedName>
    <definedName name="IQ_RETURN_ASSETS_STDDEV_EST" hidden="1">"c3528"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REUT" hidden="1">"c3983"</definedName>
    <definedName name="IQ_RETURN_EQUITY_FS" hidden="1">"c1121"</definedName>
    <definedName name="IQ_RETURN_EQUITY_GUIDANCE" hidden="1">"c4518"</definedName>
    <definedName name="IQ_RETURN_EQUITY_HIGH_EST" hidden="1">"c3536"</definedName>
    <definedName name="IQ_RETURN_EQUITY_HIGH_EST_REUT" hidden="1">"c3985"</definedName>
    <definedName name="IQ_RETURN_EQUITY_HIGH_GUIDANCE" hidden="1">"c4182"</definedName>
    <definedName name="IQ_RETURN_EQUITY_LOW_EST" hidden="1">"c3537"</definedName>
    <definedName name="IQ_RETURN_EQUITY_LOW_EST_REUT" hidden="1">"c3986"</definedName>
    <definedName name="IQ_RETURN_EQUITY_LOW_GUIDANCE" hidden="1">"c4222"</definedName>
    <definedName name="IQ_RETURN_EQUITY_MEDIAN_EST" hidden="1">"c3538"</definedName>
    <definedName name="IQ_RETURN_EQUITY_MEDIAN_EST_REUT" hidden="1">"c3984"</definedName>
    <definedName name="IQ_RETURN_EQUITY_NUM_EST" hidden="1">"c3533"</definedName>
    <definedName name="IQ_RETURN_EQUITY_NUM_EST_REUT" hidden="1">"c3987"</definedName>
    <definedName name="IQ_RETURN_EQUITY_STDDEV_EST" hidden="1">"c3534"</definedName>
    <definedName name="IQ_RETURN_EQUITY_STDDEV_EST_REUT" hidden="1">"c3988"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ACT_OR_EST_REUT" hidden="1">"c5461"</definedName>
    <definedName name="IQ_REVENUE_EST" hidden="1">"c1126"</definedName>
    <definedName name="IQ_REVENUE_EST_BOTTOM_UP" hidden="1">"c5488"</definedName>
    <definedName name="IQ_REVENUE_EST_BOTTOM_UP_REUT" hidden="1">"c5496"</definedName>
    <definedName name="IQ_REVENUE_EST_REUT" hidden="1">"c3634"</definedName>
    <definedName name="IQ_REVENUE_GUIDANCE" hidden="1">"c4519"</definedName>
    <definedName name="IQ_REVENUE_HIGH_EST" hidden="1">"c1127"</definedName>
    <definedName name="IQ_REVENUE_HIGH_EST_REUT" hidden="1">"c3636"</definedName>
    <definedName name="IQ_REVENUE_HIGH_GUIDANCE" hidden="1">"c4169"</definedName>
    <definedName name="IQ_REVENUE_LOW_EST" hidden="1">"c1128"</definedName>
    <definedName name="IQ_REVENUE_LOW_EST_REUT" hidden="1">"c3637"</definedName>
    <definedName name="IQ_REVENUE_LOW_GUIDANCE" hidden="1">"c4209"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39514.4572685185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EST" hidden="1">"c4526"</definedName>
    <definedName name="IQ_TEV_HIGH_EST" hidden="1">"c4527"</definedName>
    <definedName name="IQ_TEV_LOW_EST" hidden="1">"c4528"</definedName>
    <definedName name="IQ_TEV_MEDIAN_EST" hidden="1">"c4529"</definedName>
    <definedName name="IQ_TEV_NUM_EST" hidden="1">"c4530"</definedName>
    <definedName name="IQ_TEV_STDDEV_EST" hidden="1">"c4531"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HIGH_EST" hidden="1">"c4534"</definedName>
    <definedName name="IQ_TOTAL_DEBT_HIGH_GUIDANCE" hidden="1">"c4196"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MEDIAN_EST" hidden="1">"c4536"</definedName>
    <definedName name="IQ_TOTAL_DEBT_NUM_EST" hidden="1">"c4537"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TDDEV_EST" hidden="1">"c4538"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j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jdghgfh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jdghgfh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jdghgfh_1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jdghgfh_2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JHTK">#REF!</definedName>
    <definedName name="jj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jj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k">CHOOSE([0]!ll,#REF!,#REF!)</definedName>
    <definedName name="KilométrageDébut">#REF!</definedName>
    <definedName name="kk">CHOOSE(TableauGraphique,#REF!,#REF!)</definedName>
    <definedName name="klko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klko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l" hidden="1">{#N/A,#N/A,FALSE,"Z3 1,8i";#N/A,#N/A,FALSE,"Z3 1,9iS";#N/A,#N/A,FALSE,"Z3 2,8i";#N/A,#N/A,FALSE,"Z3 2,8i Coupé"}</definedName>
    <definedName name="l_1" hidden="1">{#N/A,#N/A,FALSE,"Z3 1,8i";#N/A,#N/A,FALSE,"Z3 1,9iS";#N/A,#N/A,FALSE,"Z3 2,8i";#N/A,#N/A,FALSE,"Z3 2,8i Coupé"}</definedName>
    <definedName name="lkj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lkj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lkj_1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lkj_2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ll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ll_1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lup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lup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lut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lut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lzu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lzu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m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m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Markenorientierung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Markenorientierung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mnbzu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mnbzu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mr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mr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neuername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neuername_1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neuername2" hidden="1">{#N/A,#N/A,FALSE,"Z3 1,8i";#N/A,#N/A,FALSE,"Z3 1,9iS";#N/A,#N/A,FALSE,"Z3 2,8i";#N/A,#N/A,FALSE,"Z3 2,8i Coupé"}</definedName>
    <definedName name="neuername2_1" hidden="1">{#N/A,#N/A,FALSE,"Z3 1,8i";#N/A,#N/A,FALSE,"Z3 1,9iS";#N/A,#N/A,FALSE,"Z3 2,8i";#N/A,#N/A,FALSE,"Z3 2,8i Coupé"}</definedName>
    <definedName name="Nicole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Nicole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Nicole_1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Nicole_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nom">#REF!</definedName>
    <definedName name="NP">#REF!</definedName>
    <definedName name="NP_Description">#REF!</definedName>
    <definedName name="ö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ö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öü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öü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p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p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Package" hidden="1">Main.SAPF4Help()</definedName>
    <definedName name="poupou">#REF!</definedName>
    <definedName name="pp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pp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pp_1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pp_2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xlnm.Print_Area" hidden="1">#REF!</definedName>
    <definedName name="_xlnm.Print_Titles" hidden="1">#REF!</definedName>
    <definedName name="PT_commencerlarangée">ROW(INDEX(#REF!,MATCH("*",#REF!,0),1))+1</definedName>
    <definedName name="PT_rangéedextrémité">COUNTA(#REF!)+PT_commencerlarangée-3</definedName>
    <definedName name="rdzkkkkkrk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rdzkkkkkrk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rien">#REF!</definedName>
    <definedName name="rjrjk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rjrjk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rjz" hidden="1">{#N/A,#N/A,FALSE,"bel";#N/A,#N/A,FALSE,"neth"}</definedName>
    <definedName name="rjz_1" hidden="1">{#N/A,#N/A,FALSE,"bel";#N/A,#N/A,FALSE,"neth"}</definedName>
    <definedName name="rtjjs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rtjjs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rzkjr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rzkjr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rzkkkkkkk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rzkkkkkkk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sa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sa_1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SAEA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SAEA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sahne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ahne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ahne_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ahne_2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APBEXhrIndnt" hidden="1">2</definedName>
    <definedName name="SAPBEXrevision" hidden="1">1</definedName>
    <definedName name="SAPBEXrevision_1" hidden="1">5</definedName>
    <definedName name="SAPBEXrevision_1_1" hidden="1">10</definedName>
    <definedName name="SAPBEXsysID" hidden="1">"UVP"</definedName>
    <definedName name="SAPBEXsysID_1" hidden="1">"HCP"</definedName>
    <definedName name="SAPBEXwbID" hidden="1">"3Q0DO0CDFWH315TPZ7V4KZG9T"</definedName>
    <definedName name="SAPBEXwbID_1" hidden="1">"47QGW46GWQUU82XQWNUMC26MH"</definedName>
    <definedName name="SAPFuncF4Help" hidden="1">Main.SAPF4Help()</definedName>
    <definedName name="sdfg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sdfg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sdfgd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dfgd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DT">#REF!</definedName>
    <definedName name="SF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SF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SF_1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SF_2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sghh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ghh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ghh_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ghh_2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grz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grz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hggf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shggf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slkdfj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lkdfj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lkdfj_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lkdfj_2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lkjfow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lkjfow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lkjfow_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lkjfow_2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ofo_Auto_GEZ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ofo_Auto_GEZ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ofo_Auto_GEZL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ofo_Auto_GEZL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ofo_Auto_GEZL_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ofo_Auto_GEZL_2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olver_num" hidden="1">0</definedName>
    <definedName name="solver_typ" hidden="1">1</definedName>
    <definedName name="solver_val" hidden="1">0</definedName>
    <definedName name="som">#REF!</definedName>
    <definedName name="Sommaire">#REF!</definedName>
    <definedName name="sr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sr_1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ss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ss_1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ssss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sss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wet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swet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swet_1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swet_2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sx" hidden="1">{#N/A,#N/A,FALSE,"Z3 1,8i";#N/A,#N/A,FALSE,"Z3 1,9iS";#N/A,#N/A,FALSE,"Z3 2,8i";#N/A,#N/A,FALSE,"Z3 2,8i Coupé"}</definedName>
    <definedName name="sx_1" hidden="1">{#N/A,#N/A,FALSE,"Z3 1,8i";#N/A,#N/A,FALSE,"Z3 1,9iS";#N/A,#N/A,FALSE,"Z3 2,8i";#N/A,#N/A,FALSE,"Z3 2,8i Coupé"}</definedName>
    <definedName name="t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_1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_2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ableau">#REF!</definedName>
    <definedName name="TableauC1">#REF!</definedName>
    <definedName name="TableauC10">#REF!</definedName>
    <definedName name="TableauC11">#REF!</definedName>
    <definedName name="TableauC12">#REF!</definedName>
    <definedName name="TableauC13">#REF!</definedName>
    <definedName name="TableauC14">#REF!</definedName>
    <definedName name="TableauC15">#REF!</definedName>
    <definedName name="TableauC16">#REF!</definedName>
    <definedName name="TableauC17">#REF!</definedName>
    <definedName name="TableauC18">#REF!</definedName>
    <definedName name="TableauC19">#REF!</definedName>
    <definedName name="TableauC2">#REF!</definedName>
    <definedName name="TableauC20">#REF!</definedName>
    <definedName name="TableauC21">#REF!</definedName>
    <definedName name="TableauC22">#REF!</definedName>
    <definedName name="TableauC23">#REF!</definedName>
    <definedName name="TableauC24">#REF!</definedName>
    <definedName name="TableauC25">#REF!</definedName>
    <definedName name="TableauC26">#REF!</definedName>
    <definedName name="TableauC27">#REF!</definedName>
    <definedName name="TableauC28">#REF!</definedName>
    <definedName name="TableauC29">#REF!</definedName>
    <definedName name="TableauC3">#REF!</definedName>
    <definedName name="TableauC30">#REF!</definedName>
    <definedName name="TableauC31">#REF!</definedName>
    <definedName name="TableauC31a">#REF!</definedName>
    <definedName name="TableauC31b">#REF!</definedName>
    <definedName name="TableauC32">#REF!</definedName>
    <definedName name="TableauC33">#REF!</definedName>
    <definedName name="TableauC34">#REF!</definedName>
    <definedName name="TableauC35">#REF!</definedName>
    <definedName name="TableauC36">#REF!</definedName>
    <definedName name="TableauC37">#REF!</definedName>
    <definedName name="TableauC38">#REF!</definedName>
    <definedName name="TableauC38a">#REF!</definedName>
    <definedName name="TableauC39">#REF!</definedName>
    <definedName name="TableauC4">#REF!</definedName>
    <definedName name="TableauC40">#REF!</definedName>
    <definedName name="tableauC400">#REF!</definedName>
    <definedName name="TableauC41">#REF!</definedName>
    <definedName name="TableauC42">#REF!</definedName>
    <definedName name="TableauC43">#REF!</definedName>
    <definedName name="TableauC44">#REF!</definedName>
    <definedName name="TableauC44a">#REF!</definedName>
    <definedName name="TableauC45">#REF!</definedName>
    <definedName name="TableauC46">#REF!</definedName>
    <definedName name="TableauC47">#REF!</definedName>
    <definedName name="TableauC48">#REF!</definedName>
    <definedName name="TableauC49">#REF!</definedName>
    <definedName name="TableauC5">#REF!</definedName>
    <definedName name="TableauC50">#REF!</definedName>
    <definedName name="TableauC51">#REF!</definedName>
    <definedName name="TableauC52">#REF!</definedName>
    <definedName name="TableauC53">#REF!</definedName>
    <definedName name="TableauC54">#REF!</definedName>
    <definedName name="TableauC55">#REF!</definedName>
    <definedName name="TableauC6">#REF!</definedName>
    <definedName name="TableauC7">#REF!</definedName>
    <definedName name="TableauC8">#REF!</definedName>
    <definedName name="TableauC9">#REF!</definedName>
    <definedName name="TableauGraphique">IF(ChoixTraçage="ENTRETIEN",1,2)</definedName>
    <definedName name="TableauH1">#REF!</definedName>
    <definedName name="TableauH10">#REF!</definedName>
    <definedName name="TableauH11">#REF!</definedName>
    <definedName name="TableauH12">#REF!</definedName>
    <definedName name="TableauH12a">#REF!</definedName>
    <definedName name="TableauH12b">#REF!</definedName>
    <definedName name="TableauH12c">#REF!</definedName>
    <definedName name="TableauH12d">#REF!</definedName>
    <definedName name="TableauH13">#REF!</definedName>
    <definedName name="TableauH14">#REF!</definedName>
    <definedName name="TableauH15">#REF!</definedName>
    <definedName name="TableauH16">#REF!</definedName>
    <definedName name="TableauH17">#REF!</definedName>
    <definedName name="TableauH18">#REF!</definedName>
    <definedName name="TableauH18a">#REF!</definedName>
    <definedName name="TableauH18b">#REF!</definedName>
    <definedName name="TableauH19">#REF!</definedName>
    <definedName name="TableauH2">#REF!</definedName>
    <definedName name="TableauH20">#REF!</definedName>
    <definedName name="TableauH20a">#REF!</definedName>
    <definedName name="TableauH20b">#REF!</definedName>
    <definedName name="TableauH21">#REF!</definedName>
    <definedName name="TableauH21a">#REF!</definedName>
    <definedName name="TableauH21b">#REF!</definedName>
    <definedName name="TableauH21c">#REF!</definedName>
    <definedName name="TableauH22">#REF!</definedName>
    <definedName name="TableauH22a">#REF!</definedName>
    <definedName name="TableauH23">#REF!</definedName>
    <definedName name="tableauH23a">#REF!</definedName>
    <definedName name="TableauH23b">#REF!</definedName>
    <definedName name="TableauH23c">#REF!</definedName>
    <definedName name="TableauH23c1">#REF!</definedName>
    <definedName name="TableauH23d">#REF!</definedName>
    <definedName name="TableauH23e">#REF!</definedName>
    <definedName name="TableauH23f">#REF!</definedName>
    <definedName name="TableauH24">#REF!</definedName>
    <definedName name="TableauH25">#REF!</definedName>
    <definedName name="TableauH26">#REF!</definedName>
    <definedName name="TableauH27">#REF!</definedName>
    <definedName name="TableauH28">#REF!</definedName>
    <definedName name="TableauH28a">#REF!</definedName>
    <definedName name="TableauH29">#REF!</definedName>
    <definedName name="TableauH2a">#REF!</definedName>
    <definedName name="TableauH2b">#REF!</definedName>
    <definedName name="TableauH3">#REF!</definedName>
    <definedName name="TableauH30">#REF!</definedName>
    <definedName name="TableauH30a">#REF!</definedName>
    <definedName name="TableauH31">#REF!</definedName>
    <definedName name="TableauH32">#REF!</definedName>
    <definedName name="TableauH33">#REF!</definedName>
    <definedName name="TableauH34">#REF!</definedName>
    <definedName name="TableauH34a">#REF!</definedName>
    <definedName name="TableauH35">#REF!</definedName>
    <definedName name="TableauH36">#REF!</definedName>
    <definedName name="TableauH37">#REF!</definedName>
    <definedName name="TableauH38">#REF!</definedName>
    <definedName name="TableauH39">#REF!</definedName>
    <definedName name="TableauH3a">#REF!</definedName>
    <definedName name="TableauH4">#REF!</definedName>
    <definedName name="TableauH40">#REF!</definedName>
    <definedName name="TableauH41">#REF!</definedName>
    <definedName name="TableauH42">#REF!</definedName>
    <definedName name="TableauH43">#REF!</definedName>
    <definedName name="TableauH44">#REF!</definedName>
    <definedName name="TableauH45">#REF!</definedName>
    <definedName name="TableauH46">#REF!</definedName>
    <definedName name="TableauH47">#REF!</definedName>
    <definedName name="TableauH48">#REF!</definedName>
    <definedName name="TableauH49">#REF!</definedName>
    <definedName name="TableauH4a">#REF!</definedName>
    <definedName name="TableauH4b">#REF!</definedName>
    <definedName name="TableauH4c">#REF!</definedName>
    <definedName name="TableauH4d">#REF!</definedName>
    <definedName name="TableauH5">#REF!</definedName>
    <definedName name="TableauH50">#REF!</definedName>
    <definedName name="TableauH51">#REF!</definedName>
    <definedName name="TableauH52">#REF!</definedName>
    <definedName name="TableauH53">#REF!</definedName>
    <definedName name="TableauH54">#REF!</definedName>
    <definedName name="TableauH5a">#REF!</definedName>
    <definedName name="TableauH6">#REF!</definedName>
    <definedName name="TableauH7">#REF!</definedName>
    <definedName name="TableauH8">#REF!</definedName>
    <definedName name="TableauH9">#REF!</definedName>
    <definedName name="Tableaux">#REF!</definedName>
    <definedName name="tea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ea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ha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ha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m">#REF!</definedName>
    <definedName name="tm_2">#REF!</definedName>
    <definedName name="tm_3">#REF!</definedName>
    <definedName name="tm_5">#REF!</definedName>
    <definedName name="TM1REBUILDOPTION">1</definedName>
    <definedName name="tom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om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om_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om_2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uiitk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tuiitk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tuikf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uikf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ukl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ukl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ulf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tulf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tuuikt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uuikt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uuuuui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uuuuui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ugö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ugö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uoip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uoip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uoö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uoö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uoög" hidden="1">Main.SAPF4Help()</definedName>
    <definedName name="uöoö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uöoö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uoööo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uoööo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uzlzf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uzlzf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v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v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ValeursGraphique">CHOOSE(TableauGraphique,#REF!,#REF!)</definedName>
    <definedName name="volbrut">#REF!</definedName>
    <definedName name="volbrut_2">#REF!</definedName>
    <definedName name="volbrut_3">#REF!</definedName>
    <definedName name="volbrut_5">#REF!</definedName>
    <definedName name="w" hidden="1">{#N/A,#N/A,FALSE,"bel";#N/A,#N/A,FALSE,"neth"}</definedName>
    <definedName name="w_" hidden="1">{#N/A,#N/A,FALSE,"bel";#N/A,#N/A,FALSE,"neth"}</definedName>
    <definedName name="w__1" hidden="1">{#N/A,#N/A,FALSE,"bel";#N/A,#N/A,FALSE,"neth"}</definedName>
    <definedName name="w_1" hidden="1">{#N/A,#N/A,FALSE,"bel";#N/A,#N/A,FALSE,"neth"}</definedName>
    <definedName name="wer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er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er_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er_2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erre" hidden="1">{#N/A,#N/A,FALSE,"Report-Generator";#N/A,#N/A,FALSE,"S.1 Zusammenfassung";#N/A,#N/A,FALSE,"S.2 Modellrendite";#N/A,#N/A,FALSE,"S.3a Absatzvolumen";#N/A,#N/A,FALSE,"S.3b Absatzvolumen";#N/A,#N/A,FALSE,"S.3c Absatzvolumen";#N/A,#N/A,FALSE,"S.4 Volumen, Mix";#N/A,#N/A,FALSE,"S.5 Produktaufwand";#N/A,#N/A,FALSE,"S.6 Prop. Herstellkosten";#N/A,#N/A,FALSE,"S.7 DB-Vergleich";#N/A,#N/A,FALSE,"S.8 DB-Vergleich";#N/A,#N/A,FALSE,"S.9 DB-Vergleich";#N/A,#N/A,FALSE,"S.10 MR-Berechnung"}</definedName>
    <definedName name="werre_1" hidden="1">{#N/A,#N/A,FALSE,"Report-Generator";#N/A,#N/A,FALSE,"S.1 Zusammenfassung";#N/A,#N/A,FALSE,"S.2 Modellrendite";#N/A,#N/A,FALSE,"S.3a Absatzvolumen";#N/A,#N/A,FALSE,"S.3b Absatzvolumen";#N/A,#N/A,FALSE,"S.3c Absatzvolumen";#N/A,#N/A,FALSE,"S.4 Volumen, Mix";#N/A,#N/A,FALSE,"S.5 Produktaufwand";#N/A,#N/A,FALSE,"S.6 Prop. Herstellkosten";#N/A,#N/A,FALSE,"S.7 DB-Vergleich";#N/A,#N/A,FALSE,"S.8 DB-Vergleich";#N/A,#N/A,FALSE,"S.9 DB-Vergleich";#N/A,#N/A,FALSE,"S.10 MR-Berechnung"}</definedName>
    <definedName name="wetwaert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etwaert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r" hidden="1">{#N/A,#N/A,FALSE,"Z3 1,8i";#N/A,#N/A,FALSE,"Z3 1,9iS";#N/A,#N/A,FALSE,"Z3 2,8i";#N/A,#N/A,FALSE,"Z3 2,8i Coupé"}</definedName>
    <definedName name="wr_1" hidden="1">{#N/A,#N/A,FALSE,"Z3 1,8i";#N/A,#N/A,FALSE,"Z3 1,9iS";#N/A,#N/A,FALSE,"Z3 2,8i";#N/A,#N/A,FALSE,"Z3 2,8i Coupé"}</definedName>
    <definedName name="wrn.Gesamt.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wrn.Gesamt._1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wrn.Gesamt2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wrn.Gesamt2_1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wrn.LUP._.04._.Vertrieb.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wrn.LUP._.04._.Vertrieb.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wrn.Mappen._.gesamt." hidden="1">{#N/A,#N/A,FALSE,"Z3 1,8i";#N/A,#N/A,FALSE,"Z3 1,9iS";#N/A,#N/A,FALSE,"Z3 2,8i";#N/A,#N/A,FALSE,"Z3 2,8i Coupé"}</definedName>
    <definedName name="wrn.Mappen._.gesamt._1" hidden="1">{#N/A,#N/A,FALSE,"Z3 1,8i";#N/A,#N/A,FALSE,"Z3 1,9iS";#N/A,#N/A,FALSE,"Z3 2,8i";#N/A,#N/A,FALSE,"Z3 2,8i Coupé"}</definedName>
    <definedName name="wrn.Report._.english." hidden="1">{#N/A,#N/A,FALSE,"Report-Generator";#N/A,#N/A,FALSE,"Page 1 Summary";#N/A,#N/A,FALSE,"Page 2 IRR";#N/A,#N/A,FALSE,"Page 3a Volume Profile";#N/A,#N/A,FALSE,"Page 3b Volume Profile";#N/A,#N/A,FALSE,"Page 3c Volume Profile";#N/A,#N/A,FALSE,"Page 4 Volume Profile, Mix";#N/A,#N/A,FALSE,"Page 5 Product Investment";#N/A,#N/A,FALSE,"Page 6 Variable Costs";#N/A,#N/A,FALSE,"Page 7 Contribution Comparison1";#N/A,#N/A,FALSE,"Page 8 Contribution Comparison2";#N/A,#N/A,FALSE,"Page 9 Contribution Comparison3";#N/A,#N/A,FALSE,"Page 10 IRR Calculation"}</definedName>
    <definedName name="wrn.Report._.english._1" hidden="1">{#N/A,#N/A,FALSE,"Report-Generator";#N/A,#N/A,FALSE,"Page 1 Summary";#N/A,#N/A,FALSE,"Page 2 IRR";#N/A,#N/A,FALSE,"Page 3a Volume Profile";#N/A,#N/A,FALSE,"Page 3b Volume Profile";#N/A,#N/A,FALSE,"Page 3c Volume Profile";#N/A,#N/A,FALSE,"Page 4 Volume Profile, Mix";#N/A,#N/A,FALSE,"Page 5 Product Investment";#N/A,#N/A,FALSE,"Page 6 Variable Costs";#N/A,#N/A,FALSE,"Page 7 Contribution Comparison1";#N/A,#N/A,FALSE,"Page 8 Contribution Comparison2";#N/A,#N/A,FALSE,"Page 9 Contribution Comparison3";#N/A,#N/A,FALSE,"Page 10 IRR Calculation"}</definedName>
    <definedName name="wrn.Statusbericht._.deutsch." hidden="1">{#N/A,#N/A,FALSE,"Report-Generator";#N/A,#N/A,FALSE,"S.1 Zusammenfassung";#N/A,#N/A,FALSE,"S.2 Modellrendite";#N/A,#N/A,FALSE,"S.3a Absatzvolumen";#N/A,#N/A,FALSE,"S.3b Absatzvolumen";#N/A,#N/A,FALSE,"S.3c Absatzvolumen";#N/A,#N/A,FALSE,"S.4 Volumen, Mix";#N/A,#N/A,FALSE,"S.5 Produktaufwand";#N/A,#N/A,FALSE,"S.6 Prop. Herstellkosten";#N/A,#N/A,FALSE,"S.7 DB-Vergleich";#N/A,#N/A,FALSE,"S.8 DB-Vergleich";#N/A,#N/A,FALSE,"S.9 DB-Vergleich";#N/A,#N/A,FALSE,"S.10 MR-Berechnung"}</definedName>
    <definedName name="wrn.Statusbericht._.deutsch._1" hidden="1">{#N/A,#N/A,FALSE,"Report-Generator";#N/A,#N/A,FALSE,"S.1 Zusammenfassung";#N/A,#N/A,FALSE,"S.2 Modellrendite";#N/A,#N/A,FALSE,"S.3a Absatzvolumen";#N/A,#N/A,FALSE,"S.3b Absatzvolumen";#N/A,#N/A,FALSE,"S.3c Absatzvolumen";#N/A,#N/A,FALSE,"S.4 Volumen, Mix";#N/A,#N/A,FALSE,"S.5 Produktaufwand";#N/A,#N/A,FALSE,"S.6 Prop. Herstellkosten";#N/A,#N/A,FALSE,"S.7 DB-Vergleich";#N/A,#N/A,FALSE,"S.8 DB-Vergleich";#N/A,#N/A,FALSE,"S.9 DB-Vergleich";#N/A,#N/A,FALSE,"S.10 MR-Berechnung"}</definedName>
    <definedName name="wrn.summary." hidden="1">{#N/A,#N/A,FALSE,"bel";#N/A,#N/A,FALSE,"neth"}</definedName>
    <definedName name="wrn.summary._1" hidden="1">{#N/A,#N/A,FALSE,"bel";#N/A,#N/A,FALSE,"neth"}</definedName>
    <definedName name="wrn.test1." hidden="1">{"atest",#N/A,FALSE,"Tabelle1";#N/A,#N/A,FALSE,"Tabelle2"}</definedName>
    <definedName name="wrn.test1._1" hidden="1">{"atest",#N/A,FALSE,"Tabelle1";#N/A,#N/A,FALSE,"Tabelle2"}</definedName>
    <definedName name="wvu.Alle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wvu.Alle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wvu.Alles.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wvu.Alles.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wvu.Alles._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wvu.Alles._2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wvu.Budget_19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wvu.Budget_19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wvu.Budget_199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vu.Budget_199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vu.Budget_1996.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vu.Budget_1996.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vu.Budget_1996._1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vu.Budget_1996._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vu.Budget_1997.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wvu.Budget_1997.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wvu.Budget_1997._1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wvu.Budget_1997._2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wvu.Ergebnis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wvu.Ergebnis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wvu.Ergebnisüberleitung.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wvu.Ergebnisüberleitung.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wvu.Ergebnisüberleitung._1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wvu.Ergebnisüberleitung._2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wvu.FC_10_Det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vu.FC_10_Det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vu.FC_10_Details.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vu.FC_10_Details.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vu.FC_10_Details._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vu.FC_10_Details._2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x">#REF!</definedName>
    <definedName name="x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x_1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xbbnhb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xbbnhb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xbcb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xbcb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xc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xc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xc_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xc_2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xcbc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xcbc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xcbxc" hidden="1">{#N/A,#N/A,FALSE,"bel";#N/A,#N/A,FALSE,"neth"}</definedName>
    <definedName name="xcbxc_1" hidden="1">{#N/A,#N/A,FALSE,"bel";#N/A,#N/A,FALSE,"neth"}</definedName>
    <definedName name="xthj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xthj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xtjxz" hidden="1">{#N/A,#N/A,FALSE,"bel";#N/A,#N/A,FALSE,"neth"}</definedName>
    <definedName name="xtjxz_1" hidden="1">{#N/A,#N/A,FALSE,"bel";#N/A,#N/A,FALSE,"neth"}</definedName>
    <definedName name="yxf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yxf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yxf_1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yxf_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z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Z_11E42F02_8116_47C6_A60D_8C2FB4F4AE5D_.wvu.Cols" hidden="1">#REF!,#REF!,#REF!</definedName>
    <definedName name="zflufu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zflufu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Ziele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Ziele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zluz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zluz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3" i="3" l="1"/>
  <c r="I78" i="3"/>
  <c r="I63" i="3"/>
  <c r="F65" i="3" l="1"/>
  <c r="H93" i="3"/>
  <c r="F63" i="3"/>
  <c r="H78" i="3"/>
  <c r="H63" i="3"/>
  <c r="F96" i="3"/>
  <c r="F95" i="3"/>
  <c r="F94" i="3"/>
  <c r="F93" i="3"/>
  <c r="F92" i="3"/>
  <c r="F91" i="3"/>
  <c r="F90" i="3"/>
  <c r="F89" i="3"/>
  <c r="F81" i="3"/>
  <c r="F80" i="3"/>
  <c r="F79" i="3"/>
  <c r="F78" i="3"/>
  <c r="F77" i="3"/>
  <c r="F76" i="3"/>
  <c r="F75" i="3"/>
  <c r="F74" i="3"/>
  <c r="F66" i="3"/>
  <c r="F64" i="3"/>
  <c r="F62" i="3"/>
  <c r="F61" i="3"/>
  <c r="F60" i="3"/>
  <c r="F59" i="3"/>
  <c r="G77" i="3"/>
  <c r="F16" i="3"/>
  <c r="E66" i="3" s="1"/>
  <c r="F14" i="2"/>
  <c r="F14" i="3" s="1"/>
  <c r="E94" i="3" s="1"/>
  <c r="F21" i="3"/>
  <c r="G45" i="3"/>
  <c r="F45" i="3"/>
  <c r="G21" i="3" s="1"/>
  <c r="H45" i="3"/>
  <c r="F9" i="3"/>
  <c r="E89" i="3" s="1"/>
  <c r="G34" i="3"/>
  <c r="H34" i="3"/>
  <c r="G35" i="3"/>
  <c r="H35" i="3"/>
  <c r="G36" i="3"/>
  <c r="H36" i="3"/>
  <c r="G37" i="3"/>
  <c r="G78" i="3" s="1"/>
  <c r="H37" i="3"/>
  <c r="G91" i="3" s="1"/>
  <c r="G38" i="3"/>
  <c r="G80" i="3" s="1"/>
  <c r="H38" i="3"/>
  <c r="G95" i="3" s="1"/>
  <c r="G39" i="3"/>
  <c r="H39" i="3"/>
  <c r="G96" i="3" s="1"/>
  <c r="G40" i="3"/>
  <c r="J78" i="3" s="1"/>
  <c r="H40" i="3"/>
  <c r="J92" i="3" s="1"/>
  <c r="G41" i="3"/>
  <c r="J80" i="3" s="1"/>
  <c r="H41" i="3"/>
  <c r="J95" i="3" s="1"/>
  <c r="G42" i="3"/>
  <c r="H42" i="3"/>
  <c r="J96" i="3" s="1"/>
  <c r="G43" i="3"/>
  <c r="H43" i="3"/>
  <c r="G44" i="3"/>
  <c r="H44" i="3"/>
  <c r="G46" i="3"/>
  <c r="M78" i="3" s="1"/>
  <c r="H46" i="3"/>
  <c r="M93" i="3" s="1"/>
  <c r="G47" i="3"/>
  <c r="M80" i="3" s="1"/>
  <c r="H47" i="3"/>
  <c r="M95" i="3" s="1"/>
  <c r="G48" i="3"/>
  <c r="H48" i="3"/>
  <c r="M96" i="3" s="1"/>
  <c r="G49" i="3"/>
  <c r="N77" i="3" s="1"/>
  <c r="H49" i="3"/>
  <c r="N93" i="3" s="1"/>
  <c r="G50" i="3"/>
  <c r="N80" i="3" s="1"/>
  <c r="H50" i="3"/>
  <c r="N95" i="3" s="1"/>
  <c r="G51" i="3"/>
  <c r="H51" i="3"/>
  <c r="N96" i="3" s="1"/>
  <c r="F35" i="3"/>
  <c r="F36" i="3"/>
  <c r="F37" i="3"/>
  <c r="G62" i="3" s="1"/>
  <c r="F38" i="3"/>
  <c r="G65" i="3" s="1"/>
  <c r="F39" i="3"/>
  <c r="G64" i="3" s="1"/>
  <c r="F40" i="3"/>
  <c r="J63" i="3" s="1"/>
  <c r="F41" i="3"/>
  <c r="J65" i="3" s="1"/>
  <c r="F42" i="3"/>
  <c r="J64" i="3" s="1"/>
  <c r="F43" i="3"/>
  <c r="G27" i="3" s="1"/>
  <c r="F44" i="3"/>
  <c r="F46" i="3"/>
  <c r="M63" i="3" s="1"/>
  <c r="F47" i="3"/>
  <c r="M65" i="3" s="1"/>
  <c r="F48" i="3"/>
  <c r="M66" i="3" s="1"/>
  <c r="F49" i="3"/>
  <c r="N62" i="3" s="1"/>
  <c r="F50" i="3"/>
  <c r="N65" i="3" s="1"/>
  <c r="F51" i="3"/>
  <c r="N64" i="3" s="1"/>
  <c r="F34" i="3"/>
  <c r="F28" i="3"/>
  <c r="F27" i="3"/>
  <c r="F13" i="3"/>
  <c r="G13" i="3" s="1"/>
  <c r="F12" i="3"/>
  <c r="H12" i="3" s="1"/>
  <c r="F11" i="3"/>
  <c r="H11" i="3" s="1"/>
  <c r="F10" i="3"/>
  <c r="H10" i="3" s="1"/>
  <c r="F59" i="2"/>
  <c r="H59" i="3" s="1"/>
  <c r="I59" i="3" s="1"/>
  <c r="I77" i="3" l="1"/>
  <c r="F15" i="3"/>
  <c r="H74" i="3"/>
  <c r="I74" i="3" s="1"/>
  <c r="E79" i="3"/>
  <c r="J94" i="3"/>
  <c r="J62" i="3"/>
  <c r="H89" i="3"/>
  <c r="I89" i="3" s="1"/>
  <c r="G76" i="3"/>
  <c r="N90" i="3"/>
  <c r="E81" i="3"/>
  <c r="G75" i="3"/>
  <c r="N89" i="3"/>
  <c r="J61" i="3"/>
  <c r="G92" i="3"/>
  <c r="N91" i="3"/>
  <c r="J60" i="3"/>
  <c r="G93" i="3"/>
  <c r="J66" i="3"/>
  <c r="K78" i="3"/>
  <c r="L78" i="3" s="1"/>
  <c r="M61" i="3"/>
  <c r="E64" i="3"/>
  <c r="N76" i="3"/>
  <c r="J89" i="3"/>
  <c r="E77" i="3"/>
  <c r="E96" i="3"/>
  <c r="J90" i="3"/>
  <c r="E78" i="3"/>
  <c r="J93" i="3"/>
  <c r="G94" i="3"/>
  <c r="M79" i="3"/>
  <c r="N92" i="3"/>
  <c r="N74" i="3"/>
  <c r="M89" i="3"/>
  <c r="M62" i="3"/>
  <c r="G74" i="3"/>
  <c r="N75" i="3"/>
  <c r="M90" i="3"/>
  <c r="N94" i="3"/>
  <c r="M92" i="3"/>
  <c r="M91" i="3"/>
  <c r="M60" i="3"/>
  <c r="N78" i="3"/>
  <c r="J59" i="3"/>
  <c r="G90" i="3"/>
  <c r="J91" i="3"/>
  <c r="M94" i="3"/>
  <c r="G59" i="3"/>
  <c r="G89" i="3"/>
  <c r="E59" i="3"/>
  <c r="I96" i="3"/>
  <c r="J79" i="3"/>
  <c r="E60" i="3"/>
  <c r="J81" i="3"/>
  <c r="E61" i="3"/>
  <c r="G61" i="3"/>
  <c r="G60" i="3"/>
  <c r="N59" i="3"/>
  <c r="E63" i="3"/>
  <c r="E92" i="3"/>
  <c r="G66" i="3"/>
  <c r="I66" i="3" s="1"/>
  <c r="J74" i="3"/>
  <c r="M74" i="3"/>
  <c r="N61" i="3"/>
  <c r="G81" i="3"/>
  <c r="M75" i="3"/>
  <c r="N79" i="3"/>
  <c r="M59" i="3"/>
  <c r="N60" i="3"/>
  <c r="E74" i="3"/>
  <c r="J76" i="3"/>
  <c r="M64" i="3"/>
  <c r="N66" i="3"/>
  <c r="E75" i="3"/>
  <c r="J77" i="3"/>
  <c r="M77" i="3"/>
  <c r="N81" i="3"/>
  <c r="G63" i="3"/>
  <c r="M81" i="3"/>
  <c r="E62" i="3"/>
  <c r="E90" i="3"/>
  <c r="N63" i="3"/>
  <c r="G79" i="3"/>
  <c r="J75" i="3"/>
  <c r="M76" i="3"/>
  <c r="E76" i="3"/>
  <c r="E91" i="3"/>
  <c r="E93" i="3"/>
  <c r="H9" i="3"/>
  <c r="G9" i="3" s="1"/>
  <c r="H14" i="3"/>
  <c r="G28" i="3"/>
  <c r="H16" i="3"/>
  <c r="K77" i="3" l="1"/>
  <c r="O77" i="3" s="1"/>
  <c r="I91" i="3"/>
  <c r="K91" i="3" s="1"/>
  <c r="K93" i="3"/>
  <c r="O93" i="3" s="1"/>
  <c r="I64" i="3"/>
  <c r="K64" i="3" s="1"/>
  <c r="I81" i="3"/>
  <c r="K81" i="3" s="1"/>
  <c r="O81" i="3" s="1"/>
  <c r="I94" i="3"/>
  <c r="K94" i="3" s="1"/>
  <c r="I79" i="3"/>
  <c r="K79" i="3" s="1"/>
  <c r="O79" i="3" s="1"/>
  <c r="I60" i="3"/>
  <c r="K60" i="3" s="1"/>
  <c r="L60" i="3" s="1"/>
  <c r="K96" i="3"/>
  <c r="L96" i="3" s="1"/>
  <c r="I90" i="3"/>
  <c r="K90" i="3" s="1"/>
  <c r="O90" i="3" s="1"/>
  <c r="I75" i="3"/>
  <c r="K75" i="3" s="1"/>
  <c r="O75" i="3" s="1"/>
  <c r="P75" i="3" s="1"/>
  <c r="I92" i="3"/>
  <c r="K92" i="3" s="1"/>
  <c r="O92" i="3" s="1"/>
  <c r="P92" i="3" s="1"/>
  <c r="I76" i="3"/>
  <c r="K76" i="3" s="1"/>
  <c r="O76" i="3" s="1"/>
  <c r="P76" i="3" s="1"/>
  <c r="F17" i="3"/>
  <c r="E95" i="3"/>
  <c r="I95" i="3" s="1"/>
  <c r="E65" i="3"/>
  <c r="I65" i="3" s="1"/>
  <c r="E80" i="3"/>
  <c r="I80" i="3" s="1"/>
  <c r="K80" i="3" s="1"/>
  <c r="O78" i="3"/>
  <c r="I61" i="3"/>
  <c r="K61" i="3" s="1"/>
  <c r="L61" i="3" s="1"/>
  <c r="H15" i="3"/>
  <c r="H17" i="3" s="1"/>
  <c r="I62" i="3"/>
  <c r="K66" i="3"/>
  <c r="O66" i="3" s="1"/>
  <c r="O94" i="3" l="1"/>
  <c r="P93" i="3"/>
  <c r="E21" i="4" s="1"/>
  <c r="R91" i="3"/>
  <c r="P90" i="3"/>
  <c r="P79" i="3"/>
  <c r="D22" i="4" s="1"/>
  <c r="R77" i="3"/>
  <c r="P78" i="3"/>
  <c r="D21" i="4" s="1"/>
  <c r="R76" i="3"/>
  <c r="P77" i="3"/>
  <c r="R75" i="3"/>
  <c r="P66" i="3"/>
  <c r="C24" i="4" s="1"/>
  <c r="R64" i="3"/>
  <c r="P81" i="3"/>
  <c r="D24" i="4" s="1"/>
  <c r="R79" i="3"/>
  <c r="E98" i="3"/>
  <c r="O64" i="3"/>
  <c r="L64" i="3"/>
  <c r="L93" i="3"/>
  <c r="L81" i="3"/>
  <c r="O91" i="3"/>
  <c r="P91" i="3" s="1"/>
  <c r="E20" i="4" s="1"/>
  <c r="L91" i="3"/>
  <c r="L77" i="3"/>
  <c r="E83" i="3"/>
  <c r="D20" i="4"/>
  <c r="O80" i="3"/>
  <c r="L79" i="3"/>
  <c r="G17" i="3"/>
  <c r="O96" i="3"/>
  <c r="L80" i="3"/>
  <c r="K89" i="3"/>
  <c r="K59" i="3"/>
  <c r="L76" i="3"/>
  <c r="L75" i="3"/>
  <c r="L92" i="3"/>
  <c r="K95" i="3"/>
  <c r="L95" i="3" s="1"/>
  <c r="L90" i="3"/>
  <c r="D8" i="4"/>
  <c r="E8" i="4"/>
  <c r="C8" i="4"/>
  <c r="L94" i="3"/>
  <c r="O60" i="3"/>
  <c r="K63" i="3"/>
  <c r="O63" i="3" s="1"/>
  <c r="O61" i="3"/>
  <c r="P61" i="3" s="1"/>
  <c r="K65" i="3"/>
  <c r="O65" i="3" s="1"/>
  <c r="L66" i="3"/>
  <c r="E68" i="3"/>
  <c r="K62" i="3"/>
  <c r="O62" i="3" s="1"/>
  <c r="P62" i="3" s="1"/>
  <c r="P94" i="3" l="1"/>
  <c r="E22" i="4" s="1"/>
  <c r="R92" i="3"/>
  <c r="R90" i="3"/>
  <c r="P80" i="3"/>
  <c r="D23" i="4" s="1"/>
  <c r="R78" i="3"/>
  <c r="P65" i="3"/>
  <c r="C23" i="4" s="1"/>
  <c r="R63" i="3"/>
  <c r="P64" i="3"/>
  <c r="C22" i="4" s="1"/>
  <c r="R62" i="3"/>
  <c r="P63" i="3"/>
  <c r="C21" i="4" s="1"/>
  <c r="R61" i="3"/>
  <c r="P60" i="3"/>
  <c r="C20" i="4" s="1"/>
  <c r="R60" i="3"/>
  <c r="P96" i="3"/>
  <c r="E24" i="4" s="1"/>
  <c r="R94" i="3"/>
  <c r="O95" i="3"/>
  <c r="K98" i="3"/>
  <c r="L89" i="3"/>
  <c r="O89" i="3"/>
  <c r="R89" i="3" s="1"/>
  <c r="K74" i="3"/>
  <c r="K83" i="3" s="1"/>
  <c r="I83" i="3"/>
  <c r="I98" i="3"/>
  <c r="O59" i="3"/>
  <c r="L59" i="3"/>
  <c r="I68" i="3"/>
  <c r="L63" i="3"/>
  <c r="L65" i="3"/>
  <c r="L62" i="3"/>
  <c r="K68" i="3"/>
  <c r="P95" i="3" l="1"/>
  <c r="E23" i="4" s="1"/>
  <c r="R93" i="3"/>
  <c r="P59" i="3"/>
  <c r="P68" i="3" s="1"/>
  <c r="C10" i="4" s="1"/>
  <c r="R59" i="3"/>
  <c r="L98" i="3"/>
  <c r="E9" i="4" s="1"/>
  <c r="E13" i="4" s="1"/>
  <c r="O98" i="3"/>
  <c r="L74" i="3"/>
  <c r="L83" i="3" s="1"/>
  <c r="D9" i="4" s="1"/>
  <c r="D13" i="4" s="1"/>
  <c r="O74" i="3"/>
  <c r="R74" i="3" s="1"/>
  <c r="O68" i="3"/>
  <c r="L68" i="3"/>
  <c r="C9" i="4" s="1"/>
  <c r="C13" i="4" s="1"/>
  <c r="C19" i="4" l="1"/>
  <c r="C25" i="4" s="1"/>
  <c r="C26" i="4" s="1"/>
  <c r="P89" i="3"/>
  <c r="O83" i="3"/>
  <c r="P74" i="3"/>
  <c r="C12" i="4"/>
  <c r="P98" i="3" l="1"/>
  <c r="E10" i="4" s="1"/>
  <c r="E12" i="4" s="1"/>
  <c r="E19" i="4"/>
  <c r="E25" i="4" s="1"/>
  <c r="P83" i="3"/>
  <c r="D10" i="4" s="1"/>
  <c r="D12" i="4" s="1"/>
  <c r="D19" i="4"/>
  <c r="D25" i="4" s="1"/>
  <c r="E26" i="4" l="1"/>
  <c r="D26" i="4"/>
</calcChain>
</file>

<file path=xl/sharedStrings.xml><?xml version="1.0" encoding="utf-8"?>
<sst xmlns="http://schemas.openxmlformats.org/spreadsheetml/2006/main" count="378" uniqueCount="149">
  <si>
    <t>Schéma directeur / Plan stratégique à 10 ans cloud et datacenters</t>
  </si>
  <si>
    <t>Modélisation de la demande IT Horizon 2035</t>
  </si>
  <si>
    <t>Inputs &amp; Hypothèses</t>
  </si>
  <si>
    <t>A.</t>
  </si>
  <si>
    <t>Baseline 2026</t>
  </si>
  <si>
    <t>Bloc</t>
  </si>
  <si>
    <t>Unité</t>
  </si>
  <si>
    <t>Baseline IT 2026</t>
  </si>
  <si>
    <t>Source / commentaire</t>
  </si>
  <si>
    <t>DSP</t>
  </si>
  <si>
    <t>kW</t>
  </si>
  <si>
    <t>Hypothèse RB sur la base des entretiens</t>
  </si>
  <si>
    <t>DENJS</t>
  </si>
  <si>
    <t>APDP</t>
  </si>
  <si>
    <t>DITN</t>
  </si>
  <si>
    <t>CHPG</t>
  </si>
  <si>
    <t>Monaco Telecom – besoins propres</t>
  </si>
  <si>
    <t>Finance</t>
  </si>
  <si>
    <t>voir onglet calcul</t>
  </si>
  <si>
    <t>à calculer à partir du modèle</t>
  </si>
  <si>
    <t>Privé hors finance</t>
  </si>
  <si>
    <t>Driver / volume 2026</t>
  </si>
  <si>
    <t>agents</t>
  </si>
  <si>
    <t>kW capacité commerciale</t>
  </si>
  <si>
    <t>Hypothèse RB sur la base des entretiens (10% de la capa commerciale installée)</t>
  </si>
  <si>
    <t>salariés</t>
  </si>
  <si>
    <t>60 454 salariés privés – 4 534 finance (IMSEE, 2024)</t>
  </si>
  <si>
    <t>B.</t>
  </si>
  <si>
    <t>Hypothèses hors DSP, CHPG</t>
  </si>
  <si>
    <t>Hypothèse</t>
  </si>
  <si>
    <t>Scénario Bas</t>
  </si>
  <si>
    <t>Scénario Central</t>
  </si>
  <si>
    <t>Scénario Haut</t>
  </si>
  <si>
    <t>Source / rationnel</t>
  </si>
  <si>
    <t>Croissance annuelle effectifs publics</t>
  </si>
  <si>
    <t>% p.a.</t>
  </si>
  <si>
    <t>Hypothèse de travail</t>
  </si>
  <si>
    <t>Croissance annuelle effectifs finance</t>
  </si>
  <si>
    <t>Croissance annuelle effectifs privé hors finance</t>
  </si>
  <si>
    <t>Croissance annuelle intensité numérique hors IA – public</t>
  </si>
  <si>
    <t>Hypothèse de travail – besoin IT / utilisateur</t>
  </si>
  <si>
    <t>Croissance annuelle intensité numérique hors IA – finance</t>
  </si>
  <si>
    <t>Hypothèse de travail – finance plus data-intensive</t>
  </si>
  <si>
    <t>Croissance annuelle intensité numérique hors IA – hors finance</t>
  </si>
  <si>
    <t>Surcouche IA 2035 – public</t>
  </si>
  <si>
    <t>%</t>
  </si>
  <si>
    <t>Surcouche IA 2035 – finance</t>
  </si>
  <si>
    <t>Surcouche IA 2035 – hors finance</t>
  </si>
  <si>
    <t>W IT / salarié finance – 2026</t>
  </si>
  <si>
    <t>W / salarié</t>
  </si>
  <si>
    <t>W IT / salarié hors finance – 2026</t>
  </si>
  <si>
    <t>W IT / agent public – socle non-métier DSP</t>
  </si>
  <si>
    <t>W / agent</t>
  </si>
  <si>
    <t>Part adressable Monaco – public / CHPG / DSP / MT</t>
  </si>
  <si>
    <t>Convention projet</t>
  </si>
  <si>
    <t>Part adressable Monaco – finance</t>
  </si>
  <si>
    <t>Part adressable Monaco – privé hors finance</t>
  </si>
  <si>
    <t>Part adressable Monaco – surcouche IA public</t>
  </si>
  <si>
    <t>Externalisée / hybride / locale</t>
  </si>
  <si>
    <t>Part adressable Monaco – surcouche IA finance</t>
  </si>
  <si>
    <t>Part adressable Monaco – surcouche IA hors finance</t>
  </si>
  <si>
    <t>C.</t>
  </si>
  <si>
    <t>Hypothèses DSP – applications métier (vidéo)</t>
  </si>
  <si>
    <t>Valeur</t>
  </si>
  <si>
    <t>Type</t>
  </si>
  <si>
    <t>Caméras 2026</t>
  </si>
  <si>
    <t>caméras</t>
  </si>
  <si>
    <t>Input</t>
  </si>
  <si>
    <t>Donnée équipe projet</t>
  </si>
  <si>
    <t>Ajout annuel de caméras</t>
  </si>
  <si>
    <t>caméras / an</t>
  </si>
  <si>
    <t>Caméras 2035</t>
  </si>
  <si>
    <t>Formule</t>
  </si>
  <si>
    <t>2026 + 9 × ajout annuel</t>
  </si>
  <si>
    <t>Résolution actuelle</t>
  </si>
  <si>
    <t>MP</t>
  </si>
  <si>
    <t>Résolution cible 2035</t>
  </si>
  <si>
    <t>Donnée équipe projet – 4K</t>
  </si>
  <si>
    <t>Facteur bitrate 8MP / 2MP</t>
  </si>
  <si>
    <t>x</t>
  </si>
  <si>
    <t>Benchmark</t>
  </si>
  <si>
    <t>Axis H.265, 24–30 fps : 2.53 / 0.64 Mb/s</t>
  </si>
  <si>
    <t>D.</t>
  </si>
  <si>
    <t>Hypothèses CHPG</t>
  </si>
  <si>
    <t>Croissance annuelle activité CHPG</t>
  </si>
  <si>
    <t>Surcroît métier santé / digitalisation 2035</t>
  </si>
  <si>
    <t>E. Sources principales</t>
  </si>
  <si>
    <t>IMSEE – Monaco en chiffres 2025</t>
  </si>
  <si>
    <t>https://www.imsee.mc/Publications/Monaco-en-chiffres-edition-2025</t>
  </si>
  <si>
    <t>Effectifs privés / finance – données 2024</t>
  </si>
  <si>
    <t>IMSEE – Emploi</t>
  </si>
  <si>
    <t>https://www.imsee.mc/Population-et-emploi/Emploi</t>
  </si>
  <si>
    <t>Effectifs salariés privé / public</t>
  </si>
  <si>
    <t>Axis – Surveillance Card selector</t>
  </si>
  <si>
    <t>https://www.axis.com/en-be/products/axis-surveillance-card-256-gb</t>
  </si>
  <si>
    <t>Bitrates indicatifs 2MP / 8MP H.265</t>
  </si>
  <si>
    <t>Cisco – Green Office Design</t>
  </si>
  <si>
    <t>https://www.cisco.com/c/dam/en_us/about/ciscoitatwork/downloads/ciscoitatwork/pdf/Cisco_IT_Case_Study_Green_Office_Design.pdf</t>
  </si>
  <si>
    <t>Contexte énergie IT de bureau ; non utilisé comme ratio DC direct</t>
  </si>
  <si>
    <t>Calculs</t>
  </si>
  <si>
    <t>Baseline besoins d'hébergement 2026</t>
  </si>
  <si>
    <t>Métier 2026</t>
  </si>
  <si>
    <t>Non-métier 2026 (kW)</t>
  </si>
  <si>
    <t>Monaco Telecom</t>
  </si>
  <si>
    <t>TOTAL</t>
  </si>
  <si>
    <t>Effectifs / driver</t>
  </si>
  <si>
    <t>W IT / utilisateur</t>
  </si>
  <si>
    <t>Commentaire</t>
  </si>
  <si>
    <t>W IT / Utilisateur</t>
  </si>
  <si>
    <t>DSP : résiduel vidéo après socle agents</t>
  </si>
  <si>
    <t>n.a.</t>
  </si>
  <si>
    <t>Projection générique public</t>
  </si>
  <si>
    <t>CHPG : activité + intensité + digitalisation métier</t>
  </si>
  <si>
    <t>Besoins propres uniquement</t>
  </si>
  <si>
    <t>Effectifs × W/salarié</t>
  </si>
  <si>
    <t>Hypothèses par scénario</t>
  </si>
  <si>
    <t>W</t>
  </si>
  <si>
    <t>Projection 2035 – besoin IT généré et demande adressable</t>
  </si>
  <si>
    <t>1.</t>
  </si>
  <si>
    <t>Scénario bas</t>
  </si>
  <si>
    <t>Croissance activité / effectifs</t>
  </si>
  <si>
    <t>Croissance intensité</t>
  </si>
  <si>
    <t>Facteur de croissance métier</t>
  </si>
  <si>
    <t>Besoin hors IA 2035</t>
  </si>
  <si>
    <t>Surcouche IA</t>
  </si>
  <si>
    <t>Besoin IA</t>
  </si>
  <si>
    <t>Besoin total 2035</t>
  </si>
  <si>
    <t>Adressable socle [%]</t>
  </si>
  <si>
    <t>Adressable IA [%]</t>
  </si>
  <si>
    <t>Demande adressable 2035 [kW IT]</t>
  </si>
  <si>
    <t>Demande adressable 2035 [MW IT]</t>
  </si>
  <si>
    <t>2.</t>
  </si>
  <si>
    <t>Scénario central</t>
  </si>
  <si>
    <t>3.</t>
  </si>
  <si>
    <t>Output – projection des besoins IT à horizon 2035</t>
  </si>
  <si>
    <t>Comparaison des trois scénarios | Besoin généré vs demande adressable à Monaco</t>
  </si>
  <si>
    <t>A. Synthèse des trois scénarios</t>
  </si>
  <si>
    <t>Indicateur</t>
  </si>
  <si>
    <t>Bas</t>
  </si>
  <si>
    <t>Central</t>
  </si>
  <si>
    <t>Haut</t>
  </si>
  <si>
    <t>Besoin IT total généré 2026 (MW IT)</t>
  </si>
  <si>
    <t>Besoin IT total généré 2035 (MW IT)</t>
  </si>
  <si>
    <t>Demande adressable Monaco 2035 (MW IT)</t>
  </si>
  <si>
    <t>Taux adressable moyen</t>
  </si>
  <si>
    <t>Croissance besoin généré 2026–2035 (x)</t>
  </si>
  <si>
    <t>B. Demande adressable 2035 par bloc d'entités</t>
  </si>
  <si>
    <t>DENJS + APDP + DITN</t>
  </si>
  <si>
    <t>Ctrl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</si>
</sst>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;[Red]\(#,##0.0\);\-"/>
    <numFmt numFmtId="165" formatCode="#,##0;[Red]\(#,##0\);\-"/>
    <numFmt numFmtId="166" formatCode="0.0%;[Red]\(0.0%\);\-"/>
    <numFmt numFmtId="167" formatCode="0.00\x"/>
    <numFmt numFmtId="168" formatCode="0.0%"/>
    <numFmt numFmtId="169" formatCode="#,##0.0"/>
    <numFmt numFmtId="170" formatCode="#,##0.0;[Red]#,##0.0"/>
    <numFmt numFmtId="171" formatCode="0.0\x"/>
  </numFmts>
  <fonts count="27">
    <font>
      <sz val="11"/>
      <name val="Carlito"/>
    </font>
    <font>
      <sz val="11"/>
      <color theme="1"/>
      <name val="Calibri"/>
      <family val="2"/>
      <scheme val="minor"/>
    </font>
    <font>
      <sz val="11"/>
      <name val="Carlito"/>
    </font>
    <font>
      <sz val="11"/>
      <name val="RB Office"/>
    </font>
    <font>
      <sz val="10"/>
      <name val="RB Office"/>
    </font>
    <font>
      <b/>
      <sz val="10"/>
      <color rgb="FFFFFFFF"/>
      <name val="RB Office"/>
    </font>
    <font>
      <i/>
      <sz val="10"/>
      <color rgb="FF666666"/>
      <name val="RB Office"/>
    </font>
    <font>
      <b/>
      <sz val="10"/>
      <name val="RB Office"/>
    </font>
    <font>
      <sz val="10"/>
      <color rgb="FF008000"/>
      <name val="RB Office"/>
    </font>
    <font>
      <sz val="10"/>
      <color rgb="FF0000FF"/>
      <name val="RB Office"/>
    </font>
    <font>
      <sz val="10"/>
      <color rgb="FF7030A0"/>
      <name val="RB Office"/>
    </font>
    <font>
      <sz val="10"/>
      <color rgb="FF000000"/>
      <name val="RB Office"/>
    </font>
    <font>
      <sz val="10"/>
      <color rgb="FF0070C0"/>
      <name val="RB Office"/>
    </font>
    <font>
      <i/>
      <sz val="10"/>
      <name val="RB Office"/>
    </font>
    <font>
      <i/>
      <sz val="10"/>
      <color theme="1" tint="0.499984740745262"/>
      <name val="RB Office"/>
    </font>
    <font>
      <sz val="11"/>
      <name val="Calibri"/>
      <family val="2"/>
    </font>
    <font>
      <sz val="27"/>
      <name val="Calibri Light"/>
      <family val="2"/>
      <scheme val="major"/>
    </font>
    <font>
      <sz val="21"/>
      <color theme="3"/>
      <name val="Arial Narrow"/>
      <family val="2"/>
    </font>
    <font>
      <sz val="11"/>
      <color theme="1"/>
      <name val="RB Office"/>
    </font>
    <font>
      <sz val="36"/>
      <name val="RB Office"/>
    </font>
    <font>
      <sz val="27"/>
      <name val="RB Office"/>
    </font>
    <font>
      <sz val="21"/>
      <color theme="3"/>
      <name val="RB Office"/>
    </font>
    <font>
      <sz val="10"/>
      <color theme="1"/>
      <name val="RB Office"/>
    </font>
    <font>
      <sz val="40"/>
      <color theme="1"/>
      <name val="RB Office"/>
    </font>
    <font>
      <b/>
      <sz val="18"/>
      <name val="RB Office"/>
    </font>
    <font>
      <sz val="12"/>
      <color theme="1"/>
      <name val="RB Office"/>
    </font>
    <font>
      <u/>
      <sz val="11"/>
      <color theme="10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17365D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9" fontId="2" fillId="0" borderId="0" applyFont="0" applyFill="0" applyBorder="0" applyAlignment="0" applyProtection="0"/>
    <xf numFmtId="0" fontId="1" fillId="0" borderId="1"/>
    <xf numFmtId="0" fontId="1" fillId="0" borderId="1"/>
    <xf numFmtId="0" fontId="15" fillId="0" borderId="1"/>
    <xf numFmtId="49" fontId="16" fillId="0" borderId="1">
      <alignment horizontal="left" vertical="top"/>
    </xf>
    <xf numFmtId="0" fontId="17" fillId="0" borderId="1">
      <alignment horizontal="left" vertical="top"/>
    </xf>
    <xf numFmtId="0" fontId="26" fillId="0" borderId="0" applyNumberFormat="0" applyFill="0" applyBorder="0" applyAlignment="0" applyProtection="0"/>
  </cellStyleXfs>
  <cellXfs count="75">
    <xf numFmtId="0" fontId="0" fillId="0" borderId="0" xfId="0"/>
    <xf numFmtId="0" fontId="3" fillId="0" borderId="0" xfId="0" applyFont="1"/>
    <xf numFmtId="0" fontId="4" fillId="0" borderId="0" xfId="0" applyFont="1"/>
    <xf numFmtId="0" fontId="5" fillId="3" borderId="0" xfId="0" applyFont="1" applyFill="1"/>
    <xf numFmtId="2" fontId="4" fillId="0" borderId="0" xfId="0" applyNumberFormat="1" applyFont="1"/>
    <xf numFmtId="0" fontId="7" fillId="0" borderId="2" xfId="0" applyFont="1" applyBorder="1"/>
    <xf numFmtId="2" fontId="7" fillId="0" borderId="2" xfId="0" applyNumberFormat="1" applyFont="1" applyBorder="1"/>
    <xf numFmtId="168" fontId="8" fillId="0" borderId="0" xfId="0" applyNumberFormat="1" applyFont="1"/>
    <xf numFmtId="164" fontId="4" fillId="0" borderId="0" xfId="0" applyNumberFormat="1" applyFont="1"/>
    <xf numFmtId="164" fontId="9" fillId="0" borderId="0" xfId="0" applyNumberFormat="1" applyFont="1"/>
    <xf numFmtId="165" fontId="9" fillId="0" borderId="0" xfId="0" applyNumberFormat="1" applyFont="1"/>
    <xf numFmtId="166" fontId="10" fillId="4" borderId="0" xfId="0" applyNumberFormat="1" applyFont="1" applyFill="1"/>
    <xf numFmtId="0" fontId="9" fillId="0" borderId="0" xfId="0" applyFont="1"/>
    <xf numFmtId="0" fontId="11" fillId="0" borderId="0" xfId="0" applyFont="1"/>
    <xf numFmtId="3" fontId="4" fillId="0" borderId="0" xfId="0" applyNumberFormat="1" applyFont="1"/>
    <xf numFmtId="9" fontId="4" fillId="0" borderId="0" xfId="1" applyFont="1"/>
    <xf numFmtId="169" fontId="7" fillId="0" borderId="2" xfId="0" applyNumberFormat="1" applyFont="1" applyBorder="1"/>
    <xf numFmtId="1" fontId="8" fillId="0" borderId="0" xfId="1" applyNumberFormat="1" applyFont="1"/>
    <xf numFmtId="3" fontId="4" fillId="0" borderId="3" xfId="0" applyNumberFormat="1" applyFont="1" applyBorder="1"/>
    <xf numFmtId="0" fontId="5" fillId="0" borderId="0" xfId="0" applyFont="1"/>
    <xf numFmtId="0" fontId="3" fillId="0" borderId="3" xfId="0" applyFont="1" applyBorder="1"/>
    <xf numFmtId="3" fontId="7" fillId="0" borderId="0" xfId="0" applyNumberFormat="1" applyFont="1"/>
    <xf numFmtId="3" fontId="7" fillId="0" borderId="4" xfId="0" applyNumberFormat="1" applyFont="1" applyBorder="1"/>
    <xf numFmtId="171" fontId="4" fillId="0" borderId="0" xfId="0" applyNumberFormat="1" applyFont="1"/>
    <xf numFmtId="0" fontId="4" fillId="0" borderId="3" xfId="0" applyFont="1" applyBorder="1"/>
    <xf numFmtId="164" fontId="9" fillId="0" borderId="3" xfId="0" applyNumberFormat="1" applyFont="1" applyBorder="1"/>
    <xf numFmtId="165" fontId="9" fillId="0" borderId="3" xfId="0" applyNumberFormat="1" applyFont="1" applyBorder="1"/>
    <xf numFmtId="166" fontId="10" fillId="4" borderId="3" xfId="0" applyNumberFormat="1" applyFont="1" applyFill="1" applyBorder="1"/>
    <xf numFmtId="167" fontId="10" fillId="4" borderId="3" xfId="0" applyNumberFormat="1" applyFont="1" applyFill="1" applyBorder="1"/>
    <xf numFmtId="0" fontId="9" fillId="0" borderId="3" xfId="0" applyFont="1" applyBorder="1"/>
    <xf numFmtId="171" fontId="4" fillId="5" borderId="0" xfId="0" applyNumberFormat="1" applyFont="1" applyFill="1"/>
    <xf numFmtId="171" fontId="12" fillId="0" borderId="0" xfId="0" applyNumberFormat="1" applyFont="1"/>
    <xf numFmtId="0" fontId="13" fillId="0" borderId="0" xfId="0" applyFont="1"/>
    <xf numFmtId="167" fontId="13" fillId="0" borderId="0" xfId="0" applyNumberFormat="1" applyFont="1"/>
    <xf numFmtId="168" fontId="13" fillId="0" borderId="0" xfId="0" applyNumberFormat="1" applyFont="1"/>
    <xf numFmtId="2" fontId="4" fillId="0" borderId="3" xfId="0" applyNumberFormat="1" applyFont="1" applyBorder="1"/>
    <xf numFmtId="0" fontId="7" fillId="0" borderId="1" xfId="0" applyFont="1" applyBorder="1"/>
    <xf numFmtId="169" fontId="7" fillId="0" borderId="1" xfId="0" applyNumberFormat="1" applyFont="1" applyBorder="1"/>
    <xf numFmtId="9" fontId="4" fillId="0" borderId="0" xfId="1" applyFont="1" applyFill="1"/>
    <xf numFmtId="0" fontId="14" fillId="0" borderId="0" xfId="0" applyFont="1"/>
    <xf numFmtId="0" fontId="18" fillId="0" borderId="1" xfId="2" applyFont="1"/>
    <xf numFmtId="0" fontId="18" fillId="0" borderId="1" xfId="3" applyFont="1"/>
    <xf numFmtId="0" fontId="3" fillId="0" borderId="1" xfId="4" applyFont="1"/>
    <xf numFmtId="0" fontId="3" fillId="0" borderId="1" xfId="2" applyFont="1"/>
    <xf numFmtId="49" fontId="19" fillId="0" borderId="1" xfId="5" applyFont="1">
      <alignment horizontal="left" vertical="top"/>
    </xf>
    <xf numFmtId="49" fontId="20" fillId="0" borderId="1" xfId="5" applyFont="1" applyAlignment="1">
      <alignment horizontal="left"/>
    </xf>
    <xf numFmtId="0" fontId="21" fillId="0" borderId="1" xfId="6" applyFont="1" applyAlignment="1">
      <alignment horizontal="left"/>
    </xf>
    <xf numFmtId="0" fontId="21" fillId="0" borderId="1" xfId="6" applyFont="1">
      <alignment horizontal="left" vertical="top"/>
    </xf>
    <xf numFmtId="0" fontId="18" fillId="0" borderId="5" xfId="2" applyFont="1" applyBorder="1"/>
    <xf numFmtId="0" fontId="18" fillId="0" borderId="5" xfId="3" applyFont="1" applyBorder="1"/>
    <xf numFmtId="0" fontId="3" fillId="6" borderId="1" xfId="4" applyFont="1" applyFill="1"/>
    <xf numFmtId="0" fontId="3" fillId="6" borderId="6" xfId="4" applyFont="1" applyFill="1" applyBorder="1"/>
    <xf numFmtId="0" fontId="18" fillId="7" borderId="1" xfId="2" applyFont="1" applyFill="1"/>
    <xf numFmtId="3" fontId="8" fillId="0" borderId="0" xfId="0" applyNumberFormat="1" applyFont="1"/>
    <xf numFmtId="3" fontId="8" fillId="0" borderId="3" xfId="0" applyNumberFormat="1" applyFont="1" applyBorder="1"/>
    <xf numFmtId="3" fontId="9" fillId="0" borderId="0" xfId="0" applyNumberFormat="1" applyFont="1"/>
    <xf numFmtId="3" fontId="9" fillId="0" borderId="3" xfId="0" applyNumberFormat="1" applyFont="1" applyBorder="1"/>
    <xf numFmtId="0" fontId="22" fillId="7" borderId="0" xfId="0" applyFont="1" applyFill="1" applyAlignment="1">
      <alignment vertical="top"/>
    </xf>
    <xf numFmtId="0" fontId="22" fillId="7" borderId="0" xfId="0" applyFont="1" applyFill="1" applyAlignment="1">
      <alignment horizontal="right" vertical="top"/>
    </xf>
    <xf numFmtId="0" fontId="23" fillId="7" borderId="0" xfId="0" applyFont="1" applyFill="1" applyAlignment="1">
      <alignment vertical="top"/>
    </xf>
    <xf numFmtId="0" fontId="24" fillId="7" borderId="1" xfId="6" applyFont="1" applyFill="1">
      <alignment horizontal="left" vertical="top"/>
    </xf>
    <xf numFmtId="0" fontId="25" fillId="7" borderId="0" xfId="0" applyFont="1" applyFill="1" applyAlignment="1">
      <alignment horizontal="right" vertical="top"/>
    </xf>
    <xf numFmtId="0" fontId="25" fillId="7" borderId="0" xfId="0" applyFont="1" applyFill="1" applyAlignment="1">
      <alignment vertical="top"/>
    </xf>
    <xf numFmtId="0" fontId="23" fillId="7" borderId="5" xfId="0" applyFont="1" applyFill="1" applyBorder="1" applyAlignment="1">
      <alignment vertical="top"/>
    </xf>
    <xf numFmtId="0" fontId="25" fillId="7" borderId="5" xfId="0" applyFont="1" applyFill="1" applyBorder="1" applyAlignment="1">
      <alignment horizontal="right" vertical="top"/>
    </xf>
    <xf numFmtId="0" fontId="25" fillId="7" borderId="5" xfId="0" applyFont="1" applyFill="1" applyBorder="1" applyAlignment="1">
      <alignment vertical="top"/>
    </xf>
    <xf numFmtId="0" fontId="22" fillId="7" borderId="5" xfId="0" applyFont="1" applyFill="1" applyBorder="1" applyAlignment="1">
      <alignment vertical="top"/>
    </xf>
    <xf numFmtId="0" fontId="26" fillId="0" borderId="3" xfId="7" applyBorder="1"/>
    <xf numFmtId="0" fontId="5" fillId="2" borderId="0" xfId="0" applyFont="1" applyFill="1"/>
    <xf numFmtId="0" fontId="6" fillId="0" borderId="0" xfId="0" applyFont="1"/>
    <xf numFmtId="0" fontId="5" fillId="8" borderId="0" xfId="0" applyFont="1" applyFill="1"/>
    <xf numFmtId="164" fontId="3" fillId="0" borderId="0" xfId="0" applyNumberFormat="1" applyFont="1"/>
    <xf numFmtId="170" fontId="3" fillId="0" borderId="0" xfId="0" applyNumberFormat="1" applyFont="1"/>
    <xf numFmtId="164" fontId="10" fillId="5" borderId="0" xfId="0" applyNumberFormat="1" applyFont="1" applyFill="1"/>
    <xf numFmtId="0" fontId="5" fillId="3" borderId="0" xfId="0" applyFont="1" applyFill="1"/>
  </cellXfs>
  <cellStyles count="8">
    <cellStyle name="Action Title" xfId="5" xr:uid="{ABC2F388-3774-47A2-B301-8BEAEE346D4A}"/>
    <cellStyle name="Hyperlink" xfId="7" builtinId="8"/>
    <cellStyle name="Normal" xfId="0" builtinId="0"/>
    <cellStyle name="Normal 11" xfId="4" xr:uid="{7CD71DAF-935C-46CD-8851-25EB3E02973F}"/>
    <cellStyle name="Normal 24" xfId="2" xr:uid="{B311A80E-396E-4093-B62D-50741E785FFC}"/>
    <cellStyle name="Normal 7" xfId="3" xr:uid="{94D339FA-EB01-4E06-9A1D-85B31F73ACC1}"/>
    <cellStyle name="Percent" xfId="1" builtinId="5"/>
    <cellStyle name="Subtitle" xfId="6" xr:uid="{88F682E3-B089-4AC2-A840-D879A43BFB1E}"/>
  </cellStyles>
  <dxfs count="0"/>
  <tableStyles count="0" defaultTableStyle="TableStyleMedium2" defaultPivotStyle="PivotStyleLight16"/>
  <colors>
    <mruColors>
      <color rgb="FF0000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Demande adressable à Monaco en 2035 (MW IT)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'3_Output'!$C$18</c:f>
              <c:strCache>
                <c:ptCount val="1"/>
                <c:pt idx="0">
                  <c:v>Bas</c:v>
                </c:pt>
              </c:strCache>
            </c:strRef>
          </c:tx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'3_Output'!$B$19:$B$25</c:f>
              <c:strCache>
                <c:ptCount val="7"/>
                <c:pt idx="0">
                  <c:v>DSP</c:v>
                </c:pt>
                <c:pt idx="1">
                  <c:v>DENJS + APDP + DITN</c:v>
                </c:pt>
                <c:pt idx="2">
                  <c:v>CHPG</c:v>
                </c:pt>
                <c:pt idx="3">
                  <c:v>Monaco Telecom</c:v>
                </c:pt>
                <c:pt idx="4">
                  <c:v>Finance</c:v>
                </c:pt>
                <c:pt idx="5">
                  <c:v>Privé hors finance</c:v>
                </c:pt>
                <c:pt idx="6">
                  <c:v>TOTAL</c:v>
                </c:pt>
              </c:strCache>
            </c:strRef>
          </c:cat>
          <c:val>
            <c:numRef>
              <c:f>'3_Output'!$C$19:$C$25</c:f>
              <c:numCache>
                <c:formatCode>0.00</c:formatCode>
                <c:ptCount val="7"/>
                <c:pt idx="0">
                  <c:v>0.74581390430837979</c:v>
                </c:pt>
                <c:pt idx="1">
                  <c:v>0.12100312257300898</c:v>
                </c:pt>
                <c:pt idx="2">
                  <c:v>0.12565758549425979</c:v>
                </c:pt>
                <c:pt idx="3">
                  <c:v>0.31227768818100982</c:v>
                </c:pt>
                <c:pt idx="4">
                  <c:v>0.16907877207187588</c:v>
                </c:pt>
                <c:pt idx="5">
                  <c:v>0.21051316577768281</c:v>
                </c:pt>
                <c:pt idx="6">
                  <c:v>1.6843442384062171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85-4E42-9C0A-55DA60DEAFFE}"/>
            </c:ext>
          </c:extLst>
        </c:ser>
        <c:ser>
          <c:idx val="1"/>
          <c:order val="1"/>
          <c:tx>
            <c:strRef>
              <c:f>'3_Output'!$D$18</c:f>
              <c:strCache>
                <c:ptCount val="1"/>
                <c:pt idx="0">
                  <c:v>Central</c:v>
                </c:pt>
              </c:strCache>
            </c:strRef>
          </c:tx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'3_Output'!$B$19:$B$25</c:f>
              <c:strCache>
                <c:ptCount val="7"/>
                <c:pt idx="0">
                  <c:v>DSP</c:v>
                </c:pt>
                <c:pt idx="1">
                  <c:v>DENJS + APDP + DITN</c:v>
                </c:pt>
                <c:pt idx="2">
                  <c:v>CHPG</c:v>
                </c:pt>
                <c:pt idx="3">
                  <c:v>Monaco Telecom</c:v>
                </c:pt>
                <c:pt idx="4">
                  <c:v>Finance</c:v>
                </c:pt>
                <c:pt idx="5">
                  <c:v>Privé hors finance</c:v>
                </c:pt>
                <c:pt idx="6">
                  <c:v>TOTAL</c:v>
                </c:pt>
              </c:strCache>
            </c:strRef>
          </c:cat>
          <c:val>
            <c:numRef>
              <c:f>'3_Output'!$D$19:$D$25</c:f>
              <c:numCache>
                <c:formatCode>0.00</c:formatCode>
                <c:ptCount val="7"/>
                <c:pt idx="0">
                  <c:v>0.80892941382919248</c:v>
                </c:pt>
                <c:pt idx="1">
                  <c:v>0.16226360014168051</c:v>
                </c:pt>
                <c:pt idx="2">
                  <c:v>0.20561303865520011</c:v>
                </c:pt>
                <c:pt idx="3">
                  <c:v>0.40446807484857428</c:v>
                </c:pt>
                <c:pt idx="4">
                  <c:v>0.44007466198651496</c:v>
                </c:pt>
                <c:pt idx="5">
                  <c:v>0.61185584239846225</c:v>
                </c:pt>
                <c:pt idx="6">
                  <c:v>2.6332046318596247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85-4E42-9C0A-55DA60DEAFFE}"/>
            </c:ext>
          </c:extLst>
        </c:ser>
        <c:ser>
          <c:idx val="2"/>
          <c:order val="2"/>
          <c:tx>
            <c:strRef>
              <c:f>'3_Output'!$E$18</c:f>
              <c:strCache>
                <c:ptCount val="1"/>
                <c:pt idx="0">
                  <c:v>Haut</c:v>
                </c:pt>
              </c:strCache>
            </c:strRef>
          </c:tx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'3_Output'!$B$19:$B$25</c:f>
              <c:strCache>
                <c:ptCount val="7"/>
                <c:pt idx="0">
                  <c:v>DSP</c:v>
                </c:pt>
                <c:pt idx="1">
                  <c:v>DENJS + APDP + DITN</c:v>
                </c:pt>
                <c:pt idx="2">
                  <c:v>CHPG</c:v>
                </c:pt>
                <c:pt idx="3">
                  <c:v>Monaco Telecom</c:v>
                </c:pt>
                <c:pt idx="4">
                  <c:v>Finance</c:v>
                </c:pt>
                <c:pt idx="5">
                  <c:v>Privé hors finance</c:v>
                </c:pt>
                <c:pt idx="6">
                  <c:v>TOTAL</c:v>
                </c:pt>
              </c:strCache>
            </c:strRef>
          </c:cat>
          <c:val>
            <c:numRef>
              <c:f>'3_Output'!$E$19:$E$25</c:f>
              <c:numCache>
                <c:formatCode>0.00</c:formatCode>
                <c:ptCount val="7"/>
                <c:pt idx="0">
                  <c:v>0.97357331083025023</c:v>
                </c:pt>
                <c:pt idx="1">
                  <c:v>0.24020857327627559</c:v>
                </c:pt>
                <c:pt idx="2">
                  <c:v>0.53661715660799991</c:v>
                </c:pt>
                <c:pt idx="3">
                  <c:v>0.5668922329320103</c:v>
                </c:pt>
                <c:pt idx="4">
                  <c:v>1.0149549868928383</c:v>
                </c:pt>
                <c:pt idx="5">
                  <c:v>1.6428936026152947</c:v>
                </c:pt>
                <c:pt idx="6">
                  <c:v>4.9751398631546691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85-4E42-9C0A-55DA60DEAF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txPr>
    <a:bodyPr/>
    <a:lstStyle/>
    <a:p>
      <a:pPr>
        <a:defRPr>
          <a:latin typeface="RB Office" panose="00000600000000000000" pitchFamily="2" charset="0"/>
          <a:ea typeface="RB Office" panose="000006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6458</xdr:colOff>
      <xdr:row>11</xdr:row>
      <xdr:rowOff>131</xdr:rowOff>
    </xdr:from>
    <xdr:to>
      <xdr:col>5</xdr:col>
      <xdr:colOff>192802</xdr:colOff>
      <xdr:row>14</xdr:row>
      <xdr:rowOff>55454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CEF23E-2177-4320-8BE7-C297163C0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678" y="3208151"/>
          <a:ext cx="2880014" cy="63096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44825</xdr:colOff>
      <xdr:row>13</xdr:row>
      <xdr:rowOff>173140</xdr:rowOff>
    </xdr:from>
    <xdr:to>
      <xdr:col>3</xdr:col>
      <xdr:colOff>993738</xdr:colOff>
      <xdr:row>21</xdr:row>
      <xdr:rowOff>78796</xdr:rowOff>
    </xdr:to>
    <xdr:pic>
      <xdr:nvPicPr>
        <xdr:cNvPr id="3" name="Picture 2" descr="Nos collaborateurs | Roland Berger">
          <a:extLst>
            <a:ext uri="{FF2B5EF4-FFF2-40B4-BE49-F238E27FC236}">
              <a16:creationId xmlns:a16="http://schemas.microsoft.com/office/drawing/2014/main" id="{EE64C21C-5663-4BC2-A89E-106D3355D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duotone>
            <a:prstClr val="black"/>
            <a:schemeClr val="accent4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585" y="3762160"/>
          <a:ext cx="1194658" cy="1436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125178</xdr:colOff>
      <xdr:row>6</xdr:row>
      <xdr:rowOff>15440</xdr:rowOff>
    </xdr:from>
    <xdr:to>
      <xdr:col>18</xdr:col>
      <xdr:colOff>190499</xdr:colOff>
      <xdr:row>25</xdr:row>
      <xdr:rowOff>15440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RB_Teal">
      <a:dk1>
        <a:srgbClr val="000000"/>
      </a:dk1>
      <a:lt1>
        <a:srgbClr val="FFFFFF"/>
      </a:lt1>
      <a:dk2>
        <a:srgbClr val="787878"/>
      </a:dk2>
      <a:lt2>
        <a:srgbClr val="C8C8C8"/>
      </a:lt2>
      <a:accent1>
        <a:srgbClr val="C8FFFA"/>
      </a:accent1>
      <a:accent2>
        <a:srgbClr val="81FFF4"/>
      </a:accent2>
      <a:accent3>
        <a:srgbClr val="00D4C4"/>
      </a:accent3>
      <a:accent4>
        <a:srgbClr val="008080"/>
      </a:accent4>
      <a:accent5>
        <a:srgbClr val="003B46"/>
      </a:accent5>
      <a:accent6>
        <a:srgbClr val="001E2F"/>
      </a:accent6>
      <a:hlink>
        <a:srgbClr val="787878"/>
      </a:hlink>
      <a:folHlink>
        <a:srgbClr val="787878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xis.com/en-be/products/axis-surveillance-card-256-gb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9CD5E-37BF-4ADD-8523-5C77AAB7AF39}">
  <sheetPr>
    <tabColor theme="9"/>
  </sheetPr>
  <dimension ref="A1:AR9"/>
  <sheetViews>
    <sheetView showGridLines="0" zoomScale="85" zoomScaleNormal="85" workbookViewId="0">
      <selection activeCell="F20" sqref="F20"/>
    </sheetView>
  </sheetViews>
  <sheetFormatPr defaultColWidth="8" defaultRowHeight="15"/>
  <cols>
    <col min="1" max="1" width="1.5" style="52" customWidth="1"/>
    <col min="2" max="3" width="3.19921875" style="52" customWidth="1"/>
    <col min="4" max="4" width="27.3984375" style="52" customWidth="1"/>
    <col min="5" max="5" width="8" style="52"/>
    <col min="6" max="6" width="46.69921875" style="52" bestFit="1" customWidth="1"/>
    <col min="7" max="16384" width="8" style="52"/>
  </cols>
  <sheetData>
    <row r="1" spans="1:44" s="42" customFormat="1" ht="13.95" customHeight="1">
      <c r="A1" s="40"/>
      <c r="B1" s="40"/>
      <c r="C1" s="40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</row>
    <row r="2" spans="1:44" s="42" customFormat="1" ht="13.95" customHeight="1">
      <c r="A2" s="40"/>
      <c r="B2" s="40"/>
      <c r="C2" s="40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</row>
    <row r="3" spans="1:44" s="42" customFormat="1" ht="13.95" customHeight="1">
      <c r="A3" s="40"/>
      <c r="B3" s="40"/>
      <c r="C3" s="40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</row>
    <row r="4" spans="1:44" s="42" customFormat="1" ht="48.6">
      <c r="A4" s="40"/>
      <c r="B4" s="43"/>
      <c r="C4" s="43"/>
      <c r="D4" s="44" t="s">
        <v>0</v>
      </c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</row>
    <row r="5" spans="1:44" s="42" customFormat="1" ht="45.6" customHeight="1">
      <c r="A5" s="40"/>
      <c r="B5" s="40"/>
      <c r="C5" s="40"/>
      <c r="D5" s="45" t="s">
        <v>1</v>
      </c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</row>
    <row r="6" spans="1:44" s="42" customFormat="1" ht="31.35" customHeight="1">
      <c r="A6" s="40"/>
      <c r="B6" s="40"/>
      <c r="C6" s="40"/>
      <c r="D6" s="46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</row>
    <row r="7" spans="1:44" s="42" customFormat="1" ht="28.2">
      <c r="A7" s="40"/>
      <c r="B7" s="40"/>
      <c r="C7" s="40"/>
      <c r="D7" s="47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</row>
    <row r="8" spans="1:44" s="42" customFormat="1" ht="13.95" customHeight="1">
      <c r="A8" s="48"/>
      <c r="B8" s="48"/>
      <c r="C8" s="48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1"/>
      <c r="AO8" s="41"/>
      <c r="AP8" s="41"/>
      <c r="AQ8" s="41"/>
      <c r="AR8" s="41"/>
    </row>
    <row r="9" spans="1:44" s="51" customFormat="1" ht="13.95" customHeight="1">
      <c r="A9" s="50"/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</row>
  </sheetData>
  <pageMargins left="0.7" right="0.7" top="0.75" bottom="0.75" header="0.3" footer="0.3"/>
  <pageSetup paperSize="9" orientation="portrait" r:id="rId1"/>
  <headerFooter>
    <oddHeader>&amp;L&amp;"Aptos"&amp;10&amp;K000000 INTERNAL&amp;1#_x000D_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P114"/>
  <sheetViews>
    <sheetView topLeftCell="A40" zoomScale="85" zoomScaleNormal="85" workbookViewId="0">
      <selection activeCell="F63" sqref="F63"/>
    </sheetView>
  </sheetViews>
  <sheetFormatPr defaultColWidth="8.69921875" defaultRowHeight="15"/>
  <cols>
    <col min="1" max="2" width="3.8984375" style="1" customWidth="1"/>
    <col min="3" max="3" width="3.19921875" style="1" customWidth="1"/>
    <col min="4" max="4" width="56.8984375" style="1" bestFit="1" customWidth="1"/>
    <col min="5" max="5" width="26.8984375" style="1" customWidth="1"/>
    <col min="6" max="6" width="20.19921875" style="1" customWidth="1"/>
    <col min="7" max="7" width="25.59765625" style="1" customWidth="1"/>
    <col min="8" max="8" width="18" style="1" customWidth="1"/>
    <col min="9" max="9" width="28" style="1" customWidth="1"/>
    <col min="10" max="13" width="16" style="1" customWidth="1"/>
    <col min="14" max="16384" width="8.69921875" style="1"/>
  </cols>
  <sheetData>
    <row r="1" spans="2:16" s="57" customFormat="1" ht="10.199999999999999" customHeight="1">
      <c r="D1" s="58"/>
      <c r="E1" s="58"/>
      <c r="F1" s="58"/>
      <c r="G1" s="58"/>
      <c r="H1" s="58"/>
      <c r="J1" s="58"/>
      <c r="K1" s="58"/>
      <c r="L1" s="58"/>
      <c r="M1" s="58"/>
      <c r="N1" s="58"/>
      <c r="O1" s="58"/>
    </row>
    <row r="2" spans="2:16" s="57" customFormat="1" ht="34.200000000000003" customHeight="1">
      <c r="B2" s="60" t="s">
        <v>2</v>
      </c>
      <c r="C2" s="59"/>
      <c r="E2" s="60"/>
      <c r="F2" s="61"/>
      <c r="G2" s="61"/>
      <c r="H2" s="61"/>
      <c r="I2" s="62"/>
      <c r="J2" s="61"/>
      <c r="K2" s="61"/>
      <c r="L2" s="61"/>
      <c r="M2" s="61"/>
      <c r="N2" s="61"/>
      <c r="O2" s="61"/>
    </row>
    <row r="3" spans="2:16" s="57" customFormat="1" ht="15.6" customHeight="1">
      <c r="C3" s="59"/>
      <c r="D3" s="60"/>
      <c r="E3" s="60"/>
      <c r="F3" s="61"/>
      <c r="G3" s="61"/>
      <c r="H3" s="61"/>
      <c r="I3" s="62"/>
      <c r="J3" s="61"/>
      <c r="K3" s="61"/>
      <c r="L3" s="61"/>
      <c r="M3" s="61"/>
      <c r="N3" s="61"/>
      <c r="O3" s="61"/>
    </row>
    <row r="4" spans="2:16" s="66" customFormat="1" ht="15" customHeight="1">
      <c r="C4" s="63"/>
      <c r="D4" s="64"/>
      <c r="E4" s="64"/>
      <c r="F4" s="64"/>
      <c r="G4" s="64"/>
      <c r="H4" s="64"/>
      <c r="I4" s="65"/>
      <c r="J4" s="64"/>
      <c r="K4" s="64"/>
      <c r="L4" s="64"/>
      <c r="M4" s="64"/>
      <c r="N4" s="64"/>
      <c r="O4" s="64"/>
    </row>
    <row r="5" spans="2:16"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2:16" ht="16.2" customHeight="1">
      <c r="B6" s="3" t="s">
        <v>3</v>
      </c>
      <c r="D6" s="3" t="s">
        <v>4</v>
      </c>
      <c r="E6" s="3"/>
      <c r="F6" s="3"/>
      <c r="G6" s="3"/>
      <c r="H6" s="3"/>
      <c r="I6" s="3"/>
      <c r="J6" s="3"/>
      <c r="K6" s="3"/>
      <c r="L6" s="3"/>
      <c r="M6" s="3"/>
      <c r="N6" s="2"/>
      <c r="O6" s="2"/>
      <c r="P6" s="2"/>
    </row>
    <row r="7" spans="2:16" ht="16.2" customHeight="1">
      <c r="D7" s="19"/>
      <c r="E7" s="19"/>
      <c r="F7" s="19"/>
      <c r="G7" s="19"/>
      <c r="H7" s="19"/>
      <c r="I7" s="19"/>
      <c r="J7" s="19"/>
      <c r="K7" s="19"/>
      <c r="L7" s="19"/>
      <c r="M7" s="19"/>
      <c r="N7" s="2"/>
      <c r="O7" s="2"/>
      <c r="P7" s="2"/>
    </row>
    <row r="8" spans="2:16" ht="15.6" thickBot="1">
      <c r="D8" s="22" t="s">
        <v>5</v>
      </c>
      <c r="E8" s="22" t="s">
        <v>6</v>
      </c>
      <c r="F8" s="22" t="s">
        <v>7</v>
      </c>
      <c r="G8" s="22" t="s">
        <v>8</v>
      </c>
      <c r="I8" s="2"/>
      <c r="J8" s="2"/>
      <c r="K8" s="2"/>
      <c r="L8" s="2"/>
      <c r="M8" s="2"/>
      <c r="N8" s="2"/>
      <c r="O8" s="2"/>
      <c r="P8" s="2"/>
    </row>
    <row r="9" spans="2:16">
      <c r="D9" s="2" t="s">
        <v>9</v>
      </c>
      <c r="E9" s="1" t="s">
        <v>10</v>
      </c>
      <c r="F9" s="9">
        <v>80</v>
      </c>
      <c r="G9" s="2" t="s">
        <v>11</v>
      </c>
      <c r="I9" s="2"/>
      <c r="J9" s="2"/>
      <c r="K9" s="2"/>
      <c r="L9" s="2"/>
      <c r="M9" s="2"/>
      <c r="N9" s="2"/>
      <c r="O9" s="2"/>
      <c r="P9" s="2"/>
    </row>
    <row r="10" spans="2:16">
      <c r="D10" s="2" t="s">
        <v>12</v>
      </c>
      <c r="E10" s="1" t="s">
        <v>10</v>
      </c>
      <c r="F10" s="9">
        <v>10</v>
      </c>
      <c r="G10" s="2" t="s">
        <v>11</v>
      </c>
      <c r="I10" s="2"/>
      <c r="J10" s="2"/>
      <c r="K10" s="2"/>
      <c r="L10" s="2"/>
      <c r="M10" s="2"/>
      <c r="N10" s="2"/>
      <c r="O10" s="2"/>
      <c r="P10" s="2"/>
    </row>
    <row r="11" spans="2:16">
      <c r="D11" s="2" t="s">
        <v>13</v>
      </c>
      <c r="E11" s="1" t="s">
        <v>10</v>
      </c>
      <c r="F11" s="9">
        <v>10</v>
      </c>
      <c r="G11" s="2" t="s">
        <v>11</v>
      </c>
      <c r="I11" s="2"/>
      <c r="J11" s="2"/>
      <c r="K11" s="2"/>
      <c r="L11" s="2"/>
      <c r="M11" s="2"/>
      <c r="N11" s="2"/>
      <c r="O11" s="2"/>
      <c r="P11" s="2"/>
    </row>
    <row r="12" spans="2:16">
      <c r="D12" s="2" t="s">
        <v>14</v>
      </c>
      <c r="E12" s="1" t="s">
        <v>10</v>
      </c>
      <c r="F12" s="9">
        <v>80</v>
      </c>
      <c r="G12" s="2" t="s">
        <v>11</v>
      </c>
      <c r="I12" s="2"/>
      <c r="J12" s="2"/>
      <c r="K12" s="2"/>
      <c r="L12" s="2"/>
      <c r="M12" s="2"/>
      <c r="N12" s="2"/>
      <c r="O12" s="2"/>
      <c r="P12" s="2"/>
    </row>
    <row r="13" spans="2:16">
      <c r="D13" s="2" t="s">
        <v>15</v>
      </c>
      <c r="E13" s="1" t="s">
        <v>10</v>
      </c>
      <c r="F13" s="9">
        <v>80</v>
      </c>
      <c r="G13" s="2" t="s">
        <v>11</v>
      </c>
      <c r="I13" s="2"/>
      <c r="J13" s="2"/>
      <c r="K13" s="2"/>
      <c r="L13" s="2"/>
      <c r="M13" s="2"/>
      <c r="N13" s="2"/>
      <c r="O13" s="2"/>
      <c r="P13" s="2"/>
    </row>
    <row r="14" spans="2:16">
      <c r="D14" s="2" t="s">
        <v>16</v>
      </c>
      <c r="E14" s="1" t="s">
        <v>10</v>
      </c>
      <c r="F14" s="9">
        <f>F25*10%</f>
        <v>260</v>
      </c>
      <c r="G14" s="2" t="s">
        <v>11</v>
      </c>
      <c r="I14" s="2"/>
      <c r="J14" s="2"/>
      <c r="K14" s="2"/>
      <c r="L14" s="2"/>
      <c r="M14" s="2"/>
      <c r="N14" s="2"/>
      <c r="O14" s="2"/>
      <c r="P14" s="2"/>
    </row>
    <row r="15" spans="2:16">
      <c r="D15" s="2" t="s">
        <v>17</v>
      </c>
      <c r="E15" s="1" t="s">
        <v>10</v>
      </c>
      <c r="F15" s="9" t="s">
        <v>18</v>
      </c>
      <c r="G15" s="2" t="s">
        <v>19</v>
      </c>
      <c r="I15" s="2"/>
      <c r="J15" s="2"/>
      <c r="K15" s="2"/>
      <c r="L15" s="2"/>
      <c r="M15" s="2"/>
      <c r="N15" s="2"/>
      <c r="O15" s="2"/>
      <c r="P15" s="2"/>
    </row>
    <row r="16" spans="2:16" ht="15.6" thickBot="1">
      <c r="D16" s="24" t="s">
        <v>20</v>
      </c>
      <c r="E16" s="20" t="s">
        <v>10</v>
      </c>
      <c r="F16" s="25" t="s">
        <v>18</v>
      </c>
      <c r="G16" s="24" t="s">
        <v>19</v>
      </c>
      <c r="I16" s="2"/>
      <c r="J16" s="2"/>
      <c r="K16" s="2"/>
      <c r="L16" s="2"/>
      <c r="M16" s="2"/>
      <c r="N16" s="2"/>
      <c r="O16" s="2"/>
      <c r="P16" s="2"/>
    </row>
    <row r="17" spans="2:16" ht="15.6" thickTop="1">
      <c r="D17" s="2"/>
      <c r="E17" s="1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2:16"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2:16" ht="15.6" thickBot="1">
      <c r="D19" s="22" t="s">
        <v>5</v>
      </c>
      <c r="E19" s="22" t="s">
        <v>6</v>
      </c>
      <c r="F19" s="22" t="s">
        <v>21</v>
      </c>
      <c r="G19" s="22" t="s">
        <v>8</v>
      </c>
      <c r="I19" s="2"/>
      <c r="J19" s="2"/>
      <c r="K19" s="2"/>
      <c r="L19" s="2"/>
      <c r="M19" s="2"/>
      <c r="N19" s="2"/>
      <c r="O19" s="2"/>
      <c r="P19" s="2"/>
    </row>
    <row r="20" spans="2:16">
      <c r="D20" s="2" t="s">
        <v>9</v>
      </c>
      <c r="E20" s="2" t="s">
        <v>22</v>
      </c>
      <c r="F20" s="10">
        <v>628</v>
      </c>
      <c r="G20" s="2" t="s">
        <v>11</v>
      </c>
      <c r="I20" s="2"/>
      <c r="J20" s="2"/>
      <c r="K20" s="2"/>
      <c r="L20" s="2"/>
      <c r="M20" s="2"/>
      <c r="N20" s="2"/>
      <c r="O20" s="2"/>
      <c r="P20" s="2"/>
    </row>
    <row r="21" spans="2:16">
      <c r="D21" s="2" t="s">
        <v>12</v>
      </c>
      <c r="E21" s="1" t="s">
        <v>10</v>
      </c>
      <c r="F21" s="10"/>
      <c r="G21" s="2" t="s">
        <v>11</v>
      </c>
      <c r="I21" s="2"/>
      <c r="J21" s="2"/>
      <c r="K21" s="2"/>
      <c r="L21" s="2"/>
      <c r="M21" s="2"/>
      <c r="N21" s="2"/>
      <c r="O21" s="2"/>
      <c r="P21" s="2"/>
    </row>
    <row r="22" spans="2:16">
      <c r="D22" s="2" t="s">
        <v>13</v>
      </c>
      <c r="E22" s="1" t="s">
        <v>10</v>
      </c>
      <c r="F22" s="10"/>
      <c r="G22" s="2" t="s">
        <v>11</v>
      </c>
      <c r="I22" s="2"/>
      <c r="J22" s="2"/>
      <c r="K22" s="2"/>
      <c r="L22" s="2"/>
      <c r="M22" s="2"/>
      <c r="N22" s="2"/>
      <c r="O22" s="2"/>
      <c r="P22" s="2"/>
    </row>
    <row r="23" spans="2:16">
      <c r="D23" s="2" t="s">
        <v>14</v>
      </c>
      <c r="E23" s="1" t="s">
        <v>10</v>
      </c>
      <c r="F23" s="10"/>
      <c r="G23" s="2" t="s">
        <v>11</v>
      </c>
      <c r="I23" s="2"/>
      <c r="J23" s="2"/>
      <c r="K23" s="2"/>
      <c r="L23" s="2"/>
      <c r="M23" s="2"/>
      <c r="N23" s="2"/>
      <c r="O23" s="2"/>
      <c r="P23" s="2"/>
    </row>
    <row r="24" spans="2:16">
      <c r="D24" s="2" t="s">
        <v>15</v>
      </c>
      <c r="E24" s="1" t="s">
        <v>10</v>
      </c>
      <c r="F24" s="10"/>
      <c r="G24" s="2" t="s">
        <v>11</v>
      </c>
      <c r="I24" s="2"/>
      <c r="J24" s="2"/>
      <c r="K24" s="2"/>
      <c r="L24" s="2"/>
      <c r="M24" s="2"/>
      <c r="N24" s="2"/>
      <c r="O24" s="2"/>
      <c r="P24" s="2"/>
    </row>
    <row r="25" spans="2:16">
      <c r="D25" s="2" t="s">
        <v>16</v>
      </c>
      <c r="E25" s="2" t="s">
        <v>23</v>
      </c>
      <c r="F25" s="10">
        <v>2600</v>
      </c>
      <c r="G25" s="2" t="s">
        <v>24</v>
      </c>
      <c r="I25" s="2"/>
      <c r="J25" s="2"/>
      <c r="K25" s="2"/>
      <c r="L25" s="2"/>
      <c r="M25" s="2"/>
      <c r="N25" s="2"/>
      <c r="O25" s="2"/>
      <c r="P25" s="2"/>
    </row>
    <row r="26" spans="2:16">
      <c r="D26" s="2" t="s">
        <v>17</v>
      </c>
      <c r="E26" s="2" t="s">
        <v>25</v>
      </c>
      <c r="F26" s="10">
        <v>7534</v>
      </c>
      <c r="G26" s="2" t="s">
        <v>26</v>
      </c>
      <c r="I26" s="2"/>
      <c r="J26" s="2"/>
      <c r="K26" s="2"/>
      <c r="L26" s="2"/>
      <c r="M26" s="2"/>
      <c r="N26" s="2"/>
      <c r="O26" s="2"/>
      <c r="P26" s="2"/>
    </row>
    <row r="27" spans="2:16" ht="15.6" thickBot="1">
      <c r="D27" s="24" t="s">
        <v>20</v>
      </c>
      <c r="E27" s="24" t="s">
        <v>25</v>
      </c>
      <c r="F27" s="26">
        <v>55920</v>
      </c>
      <c r="G27" s="24" t="s">
        <v>26</v>
      </c>
      <c r="I27" s="2"/>
      <c r="J27" s="2"/>
      <c r="K27" s="2"/>
      <c r="L27" s="2"/>
      <c r="M27" s="2"/>
      <c r="N27" s="2"/>
      <c r="O27" s="2"/>
      <c r="P27" s="2"/>
    </row>
    <row r="28" spans="2:16" ht="15.6" thickTop="1"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2:16"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2:16"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2:16" ht="16.2" customHeight="1">
      <c r="B31" s="3" t="s">
        <v>27</v>
      </c>
      <c r="D31" s="3" t="s">
        <v>28</v>
      </c>
      <c r="E31" s="3"/>
      <c r="F31" s="3"/>
      <c r="G31" s="3"/>
      <c r="H31" s="3"/>
      <c r="I31" s="3"/>
      <c r="J31" s="3"/>
      <c r="K31" s="3"/>
      <c r="L31" s="3"/>
      <c r="M31" s="3"/>
      <c r="N31" s="2"/>
      <c r="O31" s="2"/>
      <c r="P31" s="2"/>
    </row>
    <row r="32" spans="2:16" ht="16.2" customHeight="1"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2"/>
      <c r="O32" s="2"/>
      <c r="P32" s="2"/>
    </row>
    <row r="33" spans="4:16" ht="15.6" thickBot="1">
      <c r="D33" s="22" t="s">
        <v>29</v>
      </c>
      <c r="E33" s="22" t="s">
        <v>6</v>
      </c>
      <c r="F33" s="22" t="s">
        <v>30</v>
      </c>
      <c r="G33" s="22" t="s">
        <v>31</v>
      </c>
      <c r="H33" s="22" t="s">
        <v>32</v>
      </c>
      <c r="I33" s="22" t="s">
        <v>33</v>
      </c>
      <c r="J33" s="2"/>
      <c r="K33" s="2"/>
      <c r="L33" s="2"/>
      <c r="M33" s="2"/>
      <c r="N33" s="2"/>
      <c r="O33" s="2"/>
      <c r="P33" s="2"/>
    </row>
    <row r="34" spans="4:16">
      <c r="D34" s="2" t="s">
        <v>34</v>
      </c>
      <c r="E34" s="2" t="s">
        <v>35</v>
      </c>
      <c r="F34" s="11">
        <v>0</v>
      </c>
      <c r="G34" s="11">
        <v>5.0000000000000001E-3</v>
      </c>
      <c r="H34" s="11">
        <v>0.01</v>
      </c>
      <c r="I34" s="2" t="s">
        <v>36</v>
      </c>
      <c r="J34" s="2"/>
      <c r="K34" s="2"/>
      <c r="L34" s="2"/>
      <c r="M34" s="2"/>
      <c r="N34" s="2"/>
      <c r="O34" s="2"/>
      <c r="P34" s="2"/>
    </row>
    <row r="35" spans="4:16">
      <c r="D35" s="2" t="s">
        <v>37</v>
      </c>
      <c r="E35" s="2" t="s">
        <v>35</v>
      </c>
      <c r="F35" s="11">
        <v>0</v>
      </c>
      <c r="G35" s="11">
        <v>5.0000000000000001E-3</v>
      </c>
      <c r="H35" s="11">
        <v>0.01</v>
      </c>
      <c r="I35" s="2" t="s">
        <v>36</v>
      </c>
      <c r="J35" s="2"/>
      <c r="K35" s="2"/>
      <c r="L35" s="2"/>
      <c r="M35" s="2"/>
      <c r="N35" s="2"/>
      <c r="O35" s="2"/>
      <c r="P35" s="2"/>
    </row>
    <row r="36" spans="4:16">
      <c r="D36" s="2" t="s">
        <v>38</v>
      </c>
      <c r="E36" s="2" t="s">
        <v>35</v>
      </c>
      <c r="F36" s="11">
        <v>0</v>
      </c>
      <c r="G36" s="11">
        <v>5.0000000000000001E-3</v>
      </c>
      <c r="H36" s="11">
        <v>0.01</v>
      </c>
      <c r="I36" s="2" t="s">
        <v>36</v>
      </c>
      <c r="J36" s="2"/>
      <c r="K36" s="2"/>
      <c r="L36" s="2"/>
      <c r="M36" s="2"/>
      <c r="N36" s="2"/>
      <c r="O36" s="2"/>
      <c r="P36" s="2"/>
    </row>
    <row r="37" spans="4:16">
      <c r="D37" s="2" t="s">
        <v>39</v>
      </c>
      <c r="E37" s="2" t="s">
        <v>35</v>
      </c>
      <c r="F37" s="11">
        <v>0.02</v>
      </c>
      <c r="G37" s="11">
        <v>0.04</v>
      </c>
      <c r="H37" s="11">
        <v>0.06</v>
      </c>
      <c r="I37" s="2" t="s">
        <v>40</v>
      </c>
      <c r="J37" s="2"/>
      <c r="K37" s="2"/>
      <c r="L37" s="2"/>
      <c r="M37" s="2"/>
      <c r="N37" s="2"/>
      <c r="O37" s="2"/>
      <c r="P37" s="2"/>
    </row>
    <row r="38" spans="4:16">
      <c r="D38" s="2" t="s">
        <v>41</v>
      </c>
      <c r="E38" s="2" t="s">
        <v>35</v>
      </c>
      <c r="F38" s="11">
        <v>0.03</v>
      </c>
      <c r="G38" s="11">
        <v>0.05</v>
      </c>
      <c r="H38" s="11">
        <v>7.0000000000000007E-2</v>
      </c>
      <c r="I38" s="2" t="s">
        <v>42</v>
      </c>
      <c r="J38" s="2"/>
      <c r="K38" s="2"/>
      <c r="L38" s="2"/>
      <c r="M38" s="2"/>
      <c r="N38" s="2"/>
      <c r="O38" s="2"/>
      <c r="P38" s="2"/>
    </row>
    <row r="39" spans="4:16">
      <c r="D39" s="2" t="s">
        <v>43</v>
      </c>
      <c r="E39" s="2" t="s">
        <v>35</v>
      </c>
      <c r="F39" s="11">
        <v>0.02</v>
      </c>
      <c r="G39" s="11">
        <v>0.04</v>
      </c>
      <c r="H39" s="11">
        <v>0.06</v>
      </c>
      <c r="I39" s="2" t="s">
        <v>36</v>
      </c>
      <c r="J39" s="2"/>
      <c r="K39" s="2"/>
      <c r="L39" s="2"/>
      <c r="M39" s="2"/>
      <c r="N39" s="2"/>
      <c r="O39" s="2"/>
      <c r="P39" s="2"/>
    </row>
    <row r="40" spans="4:16">
      <c r="D40" s="2" t="s">
        <v>44</v>
      </c>
      <c r="E40" s="2" t="s">
        <v>45</v>
      </c>
      <c r="F40" s="11">
        <v>0.05</v>
      </c>
      <c r="G40" s="11">
        <v>0.15</v>
      </c>
      <c r="H40" s="11">
        <v>0.3</v>
      </c>
      <c r="I40" s="2" t="s">
        <v>36</v>
      </c>
      <c r="J40" s="2"/>
      <c r="K40" s="2"/>
      <c r="L40" s="2"/>
      <c r="M40" s="2"/>
      <c r="N40" s="2"/>
      <c r="O40" s="2"/>
      <c r="P40" s="2"/>
    </row>
    <row r="41" spans="4:16">
      <c r="D41" s="2" t="s">
        <v>46</v>
      </c>
      <c r="E41" s="2" t="s">
        <v>45</v>
      </c>
      <c r="F41" s="11">
        <v>0.1</v>
      </c>
      <c r="G41" s="11">
        <v>0.25</v>
      </c>
      <c r="H41" s="11">
        <v>0.45</v>
      </c>
      <c r="I41" s="2" t="s">
        <v>36</v>
      </c>
      <c r="J41" s="2"/>
      <c r="K41" s="2"/>
      <c r="L41" s="2"/>
      <c r="M41" s="2"/>
      <c r="N41" s="2"/>
      <c r="O41" s="2"/>
      <c r="P41" s="2"/>
    </row>
    <row r="42" spans="4:16">
      <c r="D42" s="2" t="s">
        <v>47</v>
      </c>
      <c r="E42" s="2" t="s">
        <v>45</v>
      </c>
      <c r="F42" s="11">
        <v>0.05</v>
      </c>
      <c r="G42" s="11">
        <v>0.15</v>
      </c>
      <c r="H42" s="11">
        <v>0.3</v>
      </c>
      <c r="I42" s="2" t="s">
        <v>36</v>
      </c>
      <c r="J42" s="2"/>
      <c r="K42" s="2"/>
      <c r="L42" s="2"/>
      <c r="M42" s="2"/>
      <c r="N42" s="2"/>
      <c r="O42" s="2"/>
      <c r="P42" s="2"/>
    </row>
    <row r="43" spans="4:16">
      <c r="D43" s="2" t="s">
        <v>48</v>
      </c>
      <c r="E43" s="2" t="s">
        <v>49</v>
      </c>
      <c r="F43" s="73">
        <v>80</v>
      </c>
      <c r="G43" s="73">
        <v>80</v>
      </c>
      <c r="H43" s="73">
        <v>80</v>
      </c>
      <c r="I43" s="2" t="s">
        <v>36</v>
      </c>
      <c r="J43" s="2"/>
      <c r="K43" s="2"/>
      <c r="L43" s="2"/>
      <c r="M43" s="2"/>
      <c r="N43" s="2"/>
      <c r="O43" s="2"/>
      <c r="P43" s="2"/>
    </row>
    <row r="44" spans="4:16">
      <c r="D44" s="2" t="s">
        <v>50</v>
      </c>
      <c r="E44" s="2" t="s">
        <v>49</v>
      </c>
      <c r="F44" s="73">
        <v>30</v>
      </c>
      <c r="G44" s="73">
        <v>30</v>
      </c>
      <c r="H44" s="73">
        <v>30</v>
      </c>
      <c r="I44" s="2" t="s">
        <v>36</v>
      </c>
      <c r="J44" s="2"/>
      <c r="K44" s="2"/>
      <c r="L44" s="2"/>
      <c r="M44" s="2"/>
      <c r="N44" s="2"/>
      <c r="O44" s="2"/>
      <c r="P44" s="2"/>
    </row>
    <row r="45" spans="4:16">
      <c r="D45" s="2" t="s">
        <v>51</v>
      </c>
      <c r="E45" s="2" t="s">
        <v>52</v>
      </c>
      <c r="F45" s="73">
        <v>30</v>
      </c>
      <c r="G45" s="73">
        <v>30</v>
      </c>
      <c r="H45" s="73">
        <v>30</v>
      </c>
      <c r="I45" s="2" t="s">
        <v>36</v>
      </c>
      <c r="J45" s="2"/>
      <c r="K45" s="2"/>
      <c r="L45" s="2"/>
      <c r="M45" s="2"/>
      <c r="N45" s="2"/>
      <c r="O45" s="2"/>
      <c r="P45" s="2"/>
    </row>
    <row r="46" spans="4:16">
      <c r="D46" s="2" t="s">
        <v>53</v>
      </c>
      <c r="E46" s="2" t="s">
        <v>45</v>
      </c>
      <c r="F46" s="11">
        <v>1</v>
      </c>
      <c r="G46" s="11">
        <v>1</v>
      </c>
      <c r="H46" s="11">
        <v>1</v>
      </c>
      <c r="I46" s="2" t="s">
        <v>54</v>
      </c>
      <c r="J46" s="2"/>
      <c r="K46" s="2"/>
      <c r="L46" s="2"/>
      <c r="M46" s="2"/>
      <c r="N46" s="2"/>
      <c r="O46" s="2"/>
      <c r="P46" s="2"/>
    </row>
    <row r="47" spans="4:16">
      <c r="D47" s="2" t="s">
        <v>55</v>
      </c>
      <c r="E47" s="2" t="s">
        <v>45</v>
      </c>
      <c r="F47" s="11">
        <v>0.2</v>
      </c>
      <c r="G47" s="11">
        <v>0.35</v>
      </c>
      <c r="H47" s="11">
        <v>0.5</v>
      </c>
      <c r="I47" s="2" t="s">
        <v>36</v>
      </c>
      <c r="J47" s="2"/>
      <c r="K47" s="2"/>
      <c r="L47" s="2"/>
      <c r="M47" s="2"/>
      <c r="N47" s="2"/>
      <c r="O47" s="2"/>
      <c r="P47" s="2"/>
    </row>
    <row r="48" spans="4:16">
      <c r="D48" s="2" t="s">
        <v>56</v>
      </c>
      <c r="E48" s="2" t="s">
        <v>45</v>
      </c>
      <c r="F48" s="11">
        <v>0.1</v>
      </c>
      <c r="G48" s="11">
        <v>0.2</v>
      </c>
      <c r="H48" s="11">
        <v>0.35</v>
      </c>
      <c r="I48" s="2" t="s">
        <v>36</v>
      </c>
      <c r="J48" s="2"/>
      <c r="K48" s="2"/>
      <c r="L48" s="2"/>
      <c r="M48" s="2"/>
      <c r="N48" s="2"/>
      <c r="O48" s="2"/>
      <c r="P48" s="2"/>
    </row>
    <row r="49" spans="2:16">
      <c r="D49" s="2" t="s">
        <v>57</v>
      </c>
      <c r="E49" s="2" t="s">
        <v>45</v>
      </c>
      <c r="F49" s="11">
        <v>0.25</v>
      </c>
      <c r="G49" s="11">
        <v>0.6</v>
      </c>
      <c r="H49" s="11">
        <v>1</v>
      </c>
      <c r="I49" s="2" t="s">
        <v>58</v>
      </c>
      <c r="J49" s="2"/>
      <c r="K49" s="2"/>
      <c r="L49" s="2"/>
      <c r="M49" s="2"/>
      <c r="N49" s="2"/>
      <c r="O49" s="2"/>
      <c r="P49" s="2"/>
    </row>
    <row r="50" spans="2:16">
      <c r="D50" s="2" t="s">
        <v>59</v>
      </c>
      <c r="E50" s="2" t="s">
        <v>45</v>
      </c>
      <c r="F50" s="11">
        <v>0.15</v>
      </c>
      <c r="G50" s="11">
        <v>0.4</v>
      </c>
      <c r="H50" s="11">
        <v>0.75</v>
      </c>
      <c r="I50" s="2" t="s">
        <v>58</v>
      </c>
      <c r="J50" s="2"/>
      <c r="K50" s="2"/>
      <c r="L50" s="2"/>
      <c r="M50" s="2"/>
      <c r="N50" s="2"/>
      <c r="O50" s="2"/>
      <c r="P50" s="2"/>
    </row>
    <row r="51" spans="2:16" ht="15.6" thickBot="1">
      <c r="D51" s="24" t="s">
        <v>60</v>
      </c>
      <c r="E51" s="24" t="s">
        <v>45</v>
      </c>
      <c r="F51" s="27">
        <v>0.1</v>
      </c>
      <c r="G51" s="27">
        <v>0.3</v>
      </c>
      <c r="H51" s="27">
        <v>0.6</v>
      </c>
      <c r="I51" s="24" t="s">
        <v>58</v>
      </c>
      <c r="J51" s="2"/>
      <c r="K51" s="2"/>
      <c r="L51" s="2"/>
      <c r="M51" s="2"/>
      <c r="N51" s="2"/>
      <c r="O51" s="2"/>
      <c r="P51" s="2"/>
    </row>
    <row r="52" spans="2:16" ht="15.6" thickTop="1"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2:16"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2:16" ht="16.2" customHeight="1">
      <c r="B54" s="3" t="s">
        <v>61</v>
      </c>
      <c r="D54" s="3" t="s">
        <v>62</v>
      </c>
      <c r="E54" s="3"/>
      <c r="F54" s="3"/>
      <c r="G54" s="3"/>
      <c r="H54" s="3"/>
      <c r="I54" s="3"/>
      <c r="J54" s="3"/>
      <c r="K54" s="3"/>
      <c r="L54" s="3"/>
      <c r="M54" s="3"/>
      <c r="N54" s="2"/>
      <c r="O54" s="2"/>
      <c r="P54" s="2"/>
    </row>
    <row r="55" spans="2:16" ht="16.2" customHeight="1"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2"/>
      <c r="O55" s="2"/>
      <c r="P55" s="2"/>
    </row>
    <row r="56" spans="2:16" ht="15.6" thickBot="1">
      <c r="D56" s="22" t="s">
        <v>29</v>
      </c>
      <c r="E56" s="22" t="s">
        <v>6</v>
      </c>
      <c r="F56" s="22" t="s">
        <v>63</v>
      </c>
      <c r="G56" s="22" t="s">
        <v>64</v>
      </c>
      <c r="H56" s="22" t="s">
        <v>33</v>
      </c>
      <c r="I56" s="2"/>
      <c r="J56" s="2"/>
      <c r="K56" s="2"/>
      <c r="L56" s="2"/>
      <c r="M56" s="2"/>
      <c r="N56" s="2"/>
      <c r="O56" s="2"/>
      <c r="P56" s="2"/>
    </row>
    <row r="57" spans="2:16">
      <c r="D57" s="2" t="s">
        <v>65</v>
      </c>
      <c r="E57" s="2" t="s">
        <v>66</v>
      </c>
      <c r="F57" s="12">
        <v>2000</v>
      </c>
      <c r="G57" s="2" t="s">
        <v>67</v>
      </c>
      <c r="H57" s="2" t="s">
        <v>68</v>
      </c>
      <c r="I57" s="2"/>
      <c r="J57" s="2"/>
      <c r="K57" s="2"/>
      <c r="L57" s="2"/>
      <c r="M57" s="2"/>
      <c r="N57" s="2"/>
      <c r="O57" s="2"/>
      <c r="P57" s="2"/>
    </row>
    <row r="58" spans="2:16">
      <c r="D58" s="2" t="s">
        <v>69</v>
      </c>
      <c r="E58" s="2" t="s">
        <v>70</v>
      </c>
      <c r="F58" s="12">
        <v>50</v>
      </c>
      <c r="G58" s="2" t="s">
        <v>67</v>
      </c>
      <c r="H58" s="2" t="s">
        <v>68</v>
      </c>
      <c r="I58" s="2"/>
      <c r="J58" s="2"/>
      <c r="K58" s="2"/>
      <c r="L58" s="2"/>
      <c r="M58" s="2"/>
      <c r="N58" s="2"/>
      <c r="O58" s="2"/>
      <c r="P58" s="2"/>
    </row>
    <row r="59" spans="2:16">
      <c r="D59" s="2" t="s">
        <v>71</v>
      </c>
      <c r="E59" s="2" t="s">
        <v>66</v>
      </c>
      <c r="F59" s="13">
        <f>F57+9*F58</f>
        <v>2450</v>
      </c>
      <c r="G59" s="2" t="s">
        <v>72</v>
      </c>
      <c r="H59" s="2" t="s">
        <v>73</v>
      </c>
      <c r="I59" s="2"/>
      <c r="J59" s="2"/>
      <c r="K59" s="2"/>
      <c r="L59" s="2"/>
      <c r="M59" s="2"/>
      <c r="N59" s="2"/>
      <c r="O59" s="2"/>
      <c r="P59" s="2"/>
    </row>
    <row r="60" spans="2:16">
      <c r="D60" s="2" t="s">
        <v>74</v>
      </c>
      <c r="E60" s="2" t="s">
        <v>75</v>
      </c>
      <c r="F60" s="12">
        <v>2</v>
      </c>
      <c r="G60" s="2" t="s">
        <v>67</v>
      </c>
      <c r="H60" s="2" t="s">
        <v>68</v>
      </c>
      <c r="I60" s="2"/>
      <c r="J60" s="2"/>
      <c r="K60" s="2"/>
      <c r="L60" s="2"/>
      <c r="M60" s="2"/>
      <c r="N60" s="2"/>
      <c r="O60" s="2"/>
      <c r="P60" s="2"/>
    </row>
    <row r="61" spans="2:16">
      <c r="D61" s="2" t="s">
        <v>76</v>
      </c>
      <c r="E61" s="2" t="s">
        <v>75</v>
      </c>
      <c r="F61" s="12">
        <v>8</v>
      </c>
      <c r="G61" s="2" t="s">
        <v>67</v>
      </c>
      <c r="H61" s="2" t="s">
        <v>77</v>
      </c>
      <c r="I61" s="2"/>
      <c r="J61" s="2"/>
      <c r="K61" s="2"/>
      <c r="L61" s="2"/>
      <c r="M61" s="2"/>
      <c r="N61" s="2"/>
      <c r="O61" s="2"/>
      <c r="P61" s="2"/>
    </row>
    <row r="62" spans="2:16" ht="15.6" thickBot="1">
      <c r="D62" s="24" t="s">
        <v>78</v>
      </c>
      <c r="E62" s="24" t="s">
        <v>79</v>
      </c>
      <c r="F62" s="28">
        <v>9.53125</v>
      </c>
      <c r="G62" s="24" t="s">
        <v>80</v>
      </c>
      <c r="H62" s="67" t="s">
        <v>81</v>
      </c>
      <c r="I62" s="2"/>
      <c r="J62" s="2"/>
      <c r="K62" s="2"/>
      <c r="L62" s="2"/>
      <c r="M62" s="2"/>
      <c r="N62" s="2"/>
      <c r="O62" s="2"/>
      <c r="P62" s="2"/>
    </row>
    <row r="63" spans="2:16" ht="15.6" thickTop="1"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2:16" ht="16.2" customHeight="1">
      <c r="B64" s="3" t="s">
        <v>82</v>
      </c>
      <c r="D64" s="74" t="s">
        <v>83</v>
      </c>
      <c r="E64" s="74"/>
      <c r="F64" s="74"/>
      <c r="G64" s="74"/>
      <c r="H64" s="74"/>
      <c r="I64" s="74"/>
      <c r="J64" s="74"/>
      <c r="K64" s="74"/>
      <c r="L64" s="74"/>
      <c r="M64" s="74"/>
      <c r="N64" s="2"/>
      <c r="O64" s="2"/>
      <c r="P64" s="2"/>
    </row>
    <row r="65" spans="4:16" ht="16.2" customHeight="1"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2"/>
      <c r="O65" s="2"/>
      <c r="P65" s="2"/>
    </row>
    <row r="66" spans="4:16" ht="15.6" thickBot="1">
      <c r="D66" s="22" t="s">
        <v>29</v>
      </c>
      <c r="E66" s="22" t="s">
        <v>6</v>
      </c>
      <c r="F66" s="22" t="s">
        <v>30</v>
      </c>
      <c r="G66" s="22" t="s">
        <v>31</v>
      </c>
      <c r="H66" s="22" t="s">
        <v>32</v>
      </c>
      <c r="I66" s="2"/>
      <c r="J66" s="2"/>
      <c r="K66" s="2"/>
      <c r="L66" s="2"/>
      <c r="M66" s="2"/>
      <c r="N66" s="2"/>
      <c r="O66" s="2"/>
      <c r="P66" s="2"/>
    </row>
    <row r="67" spans="4:16">
      <c r="D67" s="2" t="s">
        <v>84</v>
      </c>
      <c r="E67" s="2" t="s">
        <v>35</v>
      </c>
      <c r="F67" s="11">
        <v>0</v>
      </c>
      <c r="G67" s="11">
        <v>5.0000000000000001E-3</v>
      </c>
      <c r="H67" s="11">
        <v>0.01</v>
      </c>
      <c r="I67" s="2"/>
      <c r="J67" s="2"/>
      <c r="K67" s="2"/>
      <c r="L67" s="2"/>
      <c r="M67" s="2"/>
      <c r="N67" s="2"/>
      <c r="O67" s="2"/>
      <c r="P67" s="2"/>
    </row>
    <row r="68" spans="4:16" ht="15.6" thickBot="1">
      <c r="D68" s="24" t="s">
        <v>85</v>
      </c>
      <c r="E68" s="24" t="s">
        <v>45</v>
      </c>
      <c r="F68" s="27">
        <v>0.05</v>
      </c>
      <c r="G68" s="27">
        <v>0.1</v>
      </c>
      <c r="H68" s="27">
        <v>0.2</v>
      </c>
      <c r="I68" s="2"/>
      <c r="J68" s="2"/>
      <c r="K68" s="2"/>
      <c r="L68" s="2"/>
      <c r="M68" s="2"/>
      <c r="N68" s="2"/>
      <c r="O68" s="2"/>
      <c r="P68" s="2"/>
    </row>
    <row r="69" spans="4:16" ht="15.6" thickTop="1"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4:16"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4:16" ht="16.2" customHeight="1">
      <c r="D71" s="74" t="s">
        <v>86</v>
      </c>
      <c r="E71" s="74"/>
      <c r="F71" s="74"/>
      <c r="G71" s="74"/>
      <c r="H71" s="74"/>
      <c r="I71" s="74"/>
      <c r="J71" s="74"/>
      <c r="K71" s="74"/>
      <c r="L71" s="74"/>
      <c r="M71" s="74"/>
      <c r="N71" s="2"/>
      <c r="O71" s="2"/>
      <c r="P71" s="2"/>
    </row>
    <row r="72" spans="4:16">
      <c r="D72" s="2" t="s">
        <v>87</v>
      </c>
      <c r="E72" s="12" t="s">
        <v>88</v>
      </c>
      <c r="F72" s="2" t="s">
        <v>89</v>
      </c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4:16">
      <c r="D73" s="2" t="s">
        <v>90</v>
      </c>
      <c r="E73" s="12" t="s">
        <v>91</v>
      </c>
      <c r="F73" s="2" t="s">
        <v>92</v>
      </c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4:16">
      <c r="D74" s="2" t="s">
        <v>93</v>
      </c>
      <c r="E74" s="12" t="s">
        <v>94</v>
      </c>
      <c r="F74" s="2" t="s">
        <v>95</v>
      </c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4:16" ht="15.6" thickBot="1">
      <c r="D75" s="24" t="s">
        <v>96</v>
      </c>
      <c r="E75" s="29" t="s">
        <v>97</v>
      </c>
      <c r="F75" s="24" t="s">
        <v>98</v>
      </c>
      <c r="G75" s="24"/>
      <c r="H75" s="24"/>
      <c r="I75" s="2"/>
      <c r="J75" s="2"/>
      <c r="K75" s="2"/>
      <c r="L75" s="2"/>
      <c r="M75" s="2"/>
      <c r="N75" s="2"/>
      <c r="O75" s="2"/>
      <c r="P75" s="2"/>
    </row>
    <row r="76" spans="4:16" ht="15.6" thickTop="1"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4:16"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4:16"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4:16"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4:16"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4:16"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4:16"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4:16"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4:16"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4:16"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4:16"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4:16"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4:16"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4:16"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4:16"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4:16"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4:16"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4:16"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4:16"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4:16"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4:16"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4:16"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4:16"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4:16"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4:16"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4:16"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4:16"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4:16"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4:16"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4:16"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4:16"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4:16"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4:16"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4:16"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4:16"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4:16"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4:16"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4:16"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4:16"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</sheetData>
  <mergeCells count="2">
    <mergeCell ref="D64:M64"/>
    <mergeCell ref="D71:M71"/>
  </mergeCells>
  <hyperlinks>
    <hyperlink ref="H62" r:id="rId1" xr:uid="{2791F89D-D5AF-4428-A952-1C7084BE7962}"/>
  </hyperlinks>
  <pageMargins left="0.7" right="0.7" top="0.75" bottom="0.75" header="0.3" footer="0.3"/>
  <headerFooter>
    <oddHeader>&amp;L&amp;"Aptos"&amp;10&amp;K000000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120"/>
  <sheetViews>
    <sheetView topLeftCell="A73" zoomScale="107" zoomScaleNormal="55" workbookViewId="0">
      <selection activeCell="G101" sqref="G101"/>
    </sheetView>
  </sheetViews>
  <sheetFormatPr defaultColWidth="8.69921875" defaultRowHeight="15"/>
  <cols>
    <col min="1" max="2" width="4.8984375" style="1" customWidth="1"/>
    <col min="3" max="3" width="6" style="1" customWidth="1"/>
    <col min="4" max="4" width="43" style="1" customWidth="1"/>
    <col min="5" max="5" width="19.59765625" style="1" customWidth="1"/>
    <col min="6" max="6" width="27.3984375" style="1" customWidth="1"/>
    <col min="7" max="7" width="18.5" style="1" bestFit="1" customWidth="1"/>
    <col min="8" max="8" width="29.69921875" style="1" customWidth="1"/>
    <col min="9" max="9" width="18" style="1" customWidth="1"/>
    <col min="10" max="10" width="41.69921875" style="1" customWidth="1"/>
    <col min="11" max="11" width="18" style="1" customWidth="1"/>
    <col min="12" max="12" width="43.59765625" style="1" customWidth="1"/>
    <col min="13" max="13" width="23.19921875" style="1" customWidth="1"/>
    <col min="14" max="14" width="18" style="1" customWidth="1"/>
    <col min="15" max="15" width="26.3984375" style="1" customWidth="1"/>
    <col min="16" max="16" width="31.19921875" style="1" bestFit="1" customWidth="1"/>
    <col min="17" max="16384" width="8.69921875" style="1"/>
  </cols>
  <sheetData>
    <row r="1" spans="2:18" s="57" customFormat="1" ht="10.199999999999999" customHeight="1">
      <c r="F1" s="58"/>
      <c r="G1" s="58"/>
      <c r="H1" s="58"/>
      <c r="I1" s="58"/>
      <c r="J1" s="58"/>
      <c r="L1" s="58"/>
      <c r="M1" s="58"/>
      <c r="N1" s="58"/>
      <c r="O1" s="58"/>
      <c r="P1" s="58"/>
      <c r="Q1" s="58"/>
    </row>
    <row r="2" spans="2:18" s="57" customFormat="1" ht="34.200000000000003" customHeight="1">
      <c r="B2" s="60" t="s">
        <v>99</v>
      </c>
      <c r="D2" s="60"/>
      <c r="E2" s="59"/>
      <c r="G2" s="60"/>
      <c r="H2" s="61"/>
      <c r="I2" s="61"/>
      <c r="J2" s="61"/>
      <c r="K2" s="62"/>
      <c r="L2" s="61"/>
      <c r="M2" s="61"/>
      <c r="N2" s="61"/>
      <c r="O2" s="61"/>
      <c r="P2" s="61"/>
      <c r="Q2" s="61"/>
    </row>
    <row r="3" spans="2:18" s="57" customFormat="1" ht="15.6" customHeight="1">
      <c r="E3" s="59"/>
      <c r="F3" s="60"/>
      <c r="G3" s="60"/>
      <c r="H3" s="61"/>
      <c r="I3" s="61"/>
      <c r="J3" s="61"/>
      <c r="K3" s="62"/>
      <c r="L3" s="61"/>
      <c r="M3" s="61"/>
      <c r="N3" s="61"/>
      <c r="O3" s="61"/>
      <c r="P3" s="61"/>
      <c r="Q3" s="61"/>
    </row>
    <row r="4" spans="2:18" s="66" customFormat="1" ht="15" customHeight="1">
      <c r="E4" s="63"/>
      <c r="F4" s="64"/>
      <c r="G4" s="64"/>
      <c r="H4" s="64"/>
      <c r="I4" s="64"/>
      <c r="J4" s="64"/>
      <c r="K4" s="65"/>
      <c r="L4" s="64"/>
      <c r="M4" s="64"/>
      <c r="N4" s="64"/>
      <c r="O4" s="64"/>
      <c r="P4" s="64"/>
      <c r="Q4" s="64"/>
    </row>
    <row r="5" spans="2:18"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2:18" ht="16.2" customHeight="1">
      <c r="B6" s="3" t="s">
        <v>3</v>
      </c>
      <c r="D6" s="74" t="s">
        <v>100</v>
      </c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</row>
    <row r="7" spans="2:18" ht="16.2" customHeight="1"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2:18" ht="15.6" thickBot="1">
      <c r="D8" s="22" t="s">
        <v>5</v>
      </c>
      <c r="E8" s="22" t="s">
        <v>6</v>
      </c>
      <c r="F8" s="22" t="s">
        <v>4</v>
      </c>
      <c r="G8" s="22" t="s">
        <v>101</v>
      </c>
      <c r="H8" s="22" t="s">
        <v>102</v>
      </c>
      <c r="M8" s="2"/>
      <c r="N8" s="2"/>
      <c r="O8" s="2"/>
      <c r="P8" s="2"/>
    </row>
    <row r="9" spans="2:18">
      <c r="D9" s="14" t="s">
        <v>9</v>
      </c>
      <c r="E9" s="1" t="s">
        <v>10</v>
      </c>
      <c r="F9" s="53">
        <f>'1_Inputs&amp;Hyp'!F9</f>
        <v>80</v>
      </c>
      <c r="G9" s="14">
        <f>F9-H9</f>
        <v>61.16</v>
      </c>
      <c r="H9" s="14">
        <f>F21*G21/1000</f>
        <v>18.84</v>
      </c>
      <c r="M9" s="2"/>
      <c r="N9" s="2"/>
      <c r="O9" s="2"/>
      <c r="P9" s="2"/>
    </row>
    <row r="10" spans="2:18">
      <c r="D10" s="14" t="s">
        <v>12</v>
      </c>
      <c r="E10" s="1" t="s">
        <v>10</v>
      </c>
      <c r="F10" s="53">
        <f>'1_Inputs&amp;Hyp'!F10</f>
        <v>10</v>
      </c>
      <c r="G10" s="55">
        <v>0</v>
      </c>
      <c r="H10" s="14">
        <f>F10</f>
        <v>10</v>
      </c>
      <c r="M10" s="2"/>
      <c r="N10" s="2"/>
      <c r="O10" s="2"/>
      <c r="P10" s="2"/>
    </row>
    <row r="11" spans="2:18">
      <c r="D11" s="14" t="s">
        <v>13</v>
      </c>
      <c r="E11" s="1" t="s">
        <v>10</v>
      </c>
      <c r="F11" s="53">
        <f>'1_Inputs&amp;Hyp'!F11</f>
        <v>10</v>
      </c>
      <c r="G11" s="55">
        <v>0</v>
      </c>
      <c r="H11" s="14">
        <f>F11</f>
        <v>10</v>
      </c>
      <c r="M11" s="2"/>
      <c r="N11" s="2"/>
      <c r="O11" s="2"/>
      <c r="P11" s="2"/>
    </row>
    <row r="12" spans="2:18">
      <c r="D12" s="14" t="s">
        <v>14</v>
      </c>
      <c r="E12" s="1" t="s">
        <v>10</v>
      </c>
      <c r="F12" s="53">
        <f>'1_Inputs&amp;Hyp'!F12</f>
        <v>80</v>
      </c>
      <c r="G12" s="55">
        <v>0</v>
      </c>
      <c r="H12" s="14">
        <f>F12</f>
        <v>80</v>
      </c>
      <c r="M12" s="2"/>
      <c r="N12" s="2"/>
      <c r="O12" s="2"/>
      <c r="P12" s="2"/>
    </row>
    <row r="13" spans="2:18">
      <c r="D13" s="14" t="s">
        <v>15</v>
      </c>
      <c r="E13" s="1" t="s">
        <v>10</v>
      </c>
      <c r="F13" s="53">
        <f>'1_Inputs&amp;Hyp'!F13</f>
        <v>80</v>
      </c>
      <c r="G13" s="14">
        <f>F13</f>
        <v>80</v>
      </c>
      <c r="H13" s="55">
        <v>0</v>
      </c>
      <c r="M13" s="2"/>
      <c r="N13" s="2"/>
      <c r="O13" s="2"/>
      <c r="P13" s="2"/>
    </row>
    <row r="14" spans="2:18">
      <c r="D14" s="14" t="s">
        <v>103</v>
      </c>
      <c r="E14" s="1" t="s">
        <v>10</v>
      </c>
      <c r="F14" s="53">
        <f>'1_Inputs&amp;Hyp'!F14</f>
        <v>260</v>
      </c>
      <c r="G14" s="55">
        <v>0</v>
      </c>
      <c r="H14" s="14">
        <f>F14</f>
        <v>260</v>
      </c>
      <c r="M14" s="2"/>
      <c r="N14" s="2"/>
      <c r="O14" s="2"/>
      <c r="P14" s="2"/>
    </row>
    <row r="15" spans="2:18">
      <c r="D15" s="14" t="s">
        <v>17</v>
      </c>
      <c r="E15" s="1" t="s">
        <v>10</v>
      </c>
      <c r="F15" s="53">
        <f>'1_Inputs&amp;Hyp'!F26*F43/1000</f>
        <v>602.72</v>
      </c>
      <c r="G15" s="55">
        <v>0</v>
      </c>
      <c r="H15" s="14">
        <f>F15</f>
        <v>602.72</v>
      </c>
      <c r="M15" s="2"/>
      <c r="N15" s="2"/>
      <c r="O15" s="2"/>
      <c r="P15" s="2"/>
    </row>
    <row r="16" spans="2:18" ht="15.6" thickBot="1">
      <c r="D16" s="18" t="s">
        <v>20</v>
      </c>
      <c r="E16" s="20" t="s">
        <v>10</v>
      </c>
      <c r="F16" s="54">
        <f>'1_Inputs&amp;Hyp'!F27*F44/1000</f>
        <v>1677.6</v>
      </c>
      <c r="G16" s="56">
        <v>0</v>
      </c>
      <c r="H16" s="18">
        <f>F16</f>
        <v>1677.6</v>
      </c>
      <c r="M16" s="2"/>
      <c r="N16" s="2"/>
      <c r="O16" s="2"/>
      <c r="P16" s="2"/>
    </row>
    <row r="17" spans="2:16" ht="15.6" thickTop="1">
      <c r="D17" s="21" t="s">
        <v>104</v>
      </c>
      <c r="E17" s="14" t="s">
        <v>10</v>
      </c>
      <c r="F17" s="14">
        <f>SUM(F9:F16)</f>
        <v>2800.3199999999997</v>
      </c>
      <c r="G17" s="14">
        <f t="shared" ref="G17:H17" si="0">SUM(G9:G16)</f>
        <v>141.16</v>
      </c>
      <c r="H17" s="14">
        <f t="shared" si="0"/>
        <v>2659.16</v>
      </c>
      <c r="I17" s="14"/>
      <c r="J17" s="14"/>
      <c r="K17" s="2"/>
      <c r="L17" s="2"/>
      <c r="M17" s="2"/>
      <c r="N17" s="2"/>
      <c r="O17" s="2"/>
      <c r="P17" s="2"/>
    </row>
    <row r="18" spans="2:16">
      <c r="D18" s="14"/>
      <c r="E18" s="14"/>
      <c r="F18" s="14"/>
      <c r="G18" s="14"/>
      <c r="H18" s="14"/>
      <c r="I18" s="14"/>
      <c r="J18" s="14"/>
      <c r="K18" s="2"/>
      <c r="L18" s="2"/>
      <c r="M18" s="2"/>
      <c r="N18" s="2"/>
      <c r="O18" s="2"/>
      <c r="P18" s="2"/>
    </row>
    <row r="19" spans="2:16">
      <c r="D19" s="14"/>
      <c r="E19" s="14"/>
      <c r="F19" s="14"/>
      <c r="G19" s="14"/>
      <c r="H19" s="14"/>
      <c r="I19" s="14"/>
      <c r="J19" s="14"/>
      <c r="K19" s="2"/>
      <c r="L19" s="2"/>
      <c r="M19" s="2"/>
      <c r="N19" s="2"/>
      <c r="O19" s="2"/>
      <c r="P19" s="2"/>
    </row>
    <row r="20" spans="2:16" ht="15.6" thickBot="1">
      <c r="D20" s="22" t="s">
        <v>5</v>
      </c>
      <c r="E20" s="22" t="s">
        <v>6</v>
      </c>
      <c r="F20" s="22" t="s">
        <v>105</v>
      </c>
      <c r="G20" s="22" t="s">
        <v>106</v>
      </c>
      <c r="H20" s="22" t="s">
        <v>107</v>
      </c>
      <c r="I20" s="14"/>
      <c r="J20" s="14"/>
      <c r="K20" s="2"/>
      <c r="L20" s="2"/>
      <c r="M20" s="2"/>
      <c r="N20" s="2"/>
      <c r="O20" s="2"/>
      <c r="P20" s="2"/>
    </row>
    <row r="21" spans="2:16">
      <c r="D21" s="14" t="s">
        <v>9</v>
      </c>
      <c r="E21" s="14" t="s">
        <v>108</v>
      </c>
      <c r="F21" s="14">
        <f>'1_Inputs&amp;Hyp'!F20</f>
        <v>628</v>
      </c>
      <c r="G21" s="14">
        <f>F45</f>
        <v>30</v>
      </c>
      <c r="H21" s="14" t="s">
        <v>109</v>
      </c>
      <c r="I21" s="14"/>
      <c r="J21" s="14"/>
      <c r="K21" s="2"/>
      <c r="L21" s="2"/>
      <c r="M21" s="2"/>
      <c r="N21" s="2"/>
      <c r="O21" s="2"/>
      <c r="P21" s="2"/>
    </row>
    <row r="22" spans="2:16">
      <c r="D22" s="14" t="s">
        <v>12</v>
      </c>
      <c r="E22" s="14" t="s">
        <v>110</v>
      </c>
      <c r="F22" s="14"/>
      <c r="G22" s="14"/>
      <c r="H22" s="14" t="s">
        <v>111</v>
      </c>
      <c r="I22" s="14"/>
      <c r="J22" s="14"/>
      <c r="K22" s="2"/>
      <c r="L22" s="2"/>
      <c r="M22" s="2"/>
      <c r="N22" s="2"/>
      <c r="O22" s="2"/>
      <c r="P22" s="2"/>
    </row>
    <row r="23" spans="2:16">
      <c r="D23" s="14" t="s">
        <v>13</v>
      </c>
      <c r="E23" s="14" t="s">
        <v>110</v>
      </c>
      <c r="F23" s="14"/>
      <c r="G23" s="14"/>
      <c r="H23" s="14" t="s">
        <v>111</v>
      </c>
      <c r="I23" s="14"/>
      <c r="J23" s="14"/>
      <c r="K23" s="2"/>
      <c r="L23" s="2"/>
      <c r="M23" s="2"/>
      <c r="N23" s="2"/>
      <c r="O23" s="2"/>
      <c r="P23" s="2"/>
    </row>
    <row r="24" spans="2:16">
      <c r="D24" s="14" t="s">
        <v>14</v>
      </c>
      <c r="E24" s="14" t="s">
        <v>110</v>
      </c>
      <c r="F24" s="14"/>
      <c r="G24" s="14"/>
      <c r="H24" s="14" t="s">
        <v>111</v>
      </c>
      <c r="I24" s="14"/>
      <c r="J24" s="14"/>
      <c r="K24" s="2"/>
      <c r="L24" s="2"/>
      <c r="M24" s="2"/>
      <c r="N24" s="2"/>
      <c r="O24" s="2"/>
      <c r="P24" s="2"/>
    </row>
    <row r="25" spans="2:16">
      <c r="D25" s="14" t="s">
        <v>15</v>
      </c>
      <c r="E25" s="14" t="s">
        <v>110</v>
      </c>
      <c r="F25" s="14"/>
      <c r="G25" s="14"/>
      <c r="H25" s="14" t="s">
        <v>112</v>
      </c>
      <c r="I25" s="14"/>
      <c r="J25" s="14"/>
      <c r="K25" s="2"/>
      <c r="L25" s="2"/>
      <c r="M25" s="2"/>
      <c r="N25" s="2"/>
      <c r="O25" s="2"/>
      <c r="P25" s="2"/>
    </row>
    <row r="26" spans="2:16">
      <c r="D26" s="14" t="s">
        <v>103</v>
      </c>
      <c r="E26" s="14" t="s">
        <v>110</v>
      </c>
      <c r="F26" s="14"/>
      <c r="G26" s="14"/>
      <c r="H26" s="14" t="s">
        <v>113</v>
      </c>
      <c r="I26" s="14"/>
      <c r="J26" s="14"/>
      <c r="K26" s="2"/>
      <c r="L26" s="2"/>
      <c r="M26" s="2"/>
      <c r="N26" s="2"/>
      <c r="O26" s="2"/>
      <c r="P26" s="2"/>
    </row>
    <row r="27" spans="2:16">
      <c r="D27" s="14" t="s">
        <v>17</v>
      </c>
      <c r="E27" s="14" t="s">
        <v>108</v>
      </c>
      <c r="F27" s="14">
        <f>'1_Inputs&amp;Hyp'!F26</f>
        <v>7534</v>
      </c>
      <c r="G27" s="14">
        <f>F43</f>
        <v>80</v>
      </c>
      <c r="H27" s="14" t="s">
        <v>114</v>
      </c>
      <c r="I27" s="14"/>
      <c r="J27" s="14"/>
      <c r="K27" s="2"/>
      <c r="L27" s="2"/>
      <c r="M27" s="2"/>
      <c r="N27" s="2"/>
      <c r="O27" s="2"/>
      <c r="P27" s="2"/>
    </row>
    <row r="28" spans="2:16" ht="15.6" thickBot="1">
      <c r="D28" s="18" t="s">
        <v>20</v>
      </c>
      <c r="E28" s="18" t="s">
        <v>108</v>
      </c>
      <c r="F28" s="18">
        <f>'1_Inputs&amp;Hyp'!F27</f>
        <v>55920</v>
      </c>
      <c r="G28" s="18">
        <f>F44</f>
        <v>30</v>
      </c>
      <c r="H28" s="18" t="s">
        <v>114</v>
      </c>
      <c r="I28" s="14"/>
      <c r="J28" s="14"/>
      <c r="K28" s="2"/>
      <c r="L28" s="2"/>
      <c r="M28" s="2"/>
      <c r="N28" s="2"/>
      <c r="O28" s="2"/>
      <c r="P28" s="2"/>
    </row>
    <row r="29" spans="2:16" ht="15.6" thickTop="1">
      <c r="D29" s="21" t="s">
        <v>104</v>
      </c>
      <c r="E29" s="14"/>
      <c r="F29" s="14"/>
      <c r="G29" s="14"/>
      <c r="H29" s="14"/>
      <c r="I29" s="14"/>
      <c r="J29" s="14"/>
      <c r="K29" s="2"/>
      <c r="L29" s="2"/>
      <c r="M29" s="2"/>
      <c r="N29" s="2"/>
      <c r="O29" s="2"/>
      <c r="P29" s="2"/>
    </row>
    <row r="30" spans="2:16">
      <c r="D30" s="14"/>
      <c r="E30" s="14"/>
      <c r="F30" s="14"/>
      <c r="G30" s="14"/>
      <c r="H30" s="14"/>
      <c r="I30" s="14"/>
      <c r="J30" s="14"/>
      <c r="K30" s="2"/>
      <c r="L30" s="2"/>
      <c r="M30" s="2"/>
      <c r="N30" s="2"/>
      <c r="O30" s="2"/>
      <c r="P30" s="2"/>
    </row>
    <row r="31" spans="2:16" ht="16.2" customHeight="1">
      <c r="B31" s="3" t="s">
        <v>27</v>
      </c>
      <c r="D31" s="74" t="s">
        <v>115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</row>
    <row r="32" spans="2:16"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4:16" ht="15.6" thickBot="1">
      <c r="D33" s="22" t="s">
        <v>29</v>
      </c>
      <c r="E33" s="22" t="s">
        <v>6</v>
      </c>
      <c r="F33" s="22" t="s">
        <v>30</v>
      </c>
      <c r="G33" s="22" t="s">
        <v>31</v>
      </c>
      <c r="H33" s="22" t="s">
        <v>32</v>
      </c>
      <c r="I33" s="2"/>
      <c r="J33" s="2"/>
      <c r="K33" s="2"/>
      <c r="L33" s="2"/>
      <c r="M33" s="2"/>
      <c r="N33" s="2"/>
      <c r="O33" s="2"/>
      <c r="P33" s="2"/>
    </row>
    <row r="34" spans="4:16">
      <c r="D34" s="2" t="s">
        <v>34</v>
      </c>
      <c r="E34" s="2" t="s">
        <v>35</v>
      </c>
      <c r="F34" s="7">
        <f>'1_Inputs&amp;Hyp'!F34</f>
        <v>0</v>
      </c>
      <c r="G34" s="7">
        <f>'1_Inputs&amp;Hyp'!G34</f>
        <v>5.0000000000000001E-3</v>
      </c>
      <c r="H34" s="7">
        <f>'1_Inputs&amp;Hyp'!H34</f>
        <v>0.01</v>
      </c>
      <c r="I34" s="2"/>
      <c r="J34" s="2"/>
      <c r="K34" s="2"/>
      <c r="L34" s="2"/>
      <c r="M34" s="2"/>
      <c r="N34" s="2"/>
      <c r="O34" s="2"/>
      <c r="P34" s="2"/>
    </row>
    <row r="35" spans="4:16">
      <c r="D35" s="2" t="s">
        <v>37</v>
      </c>
      <c r="E35" s="2" t="s">
        <v>35</v>
      </c>
      <c r="F35" s="7">
        <f>'1_Inputs&amp;Hyp'!F35</f>
        <v>0</v>
      </c>
      <c r="G35" s="7">
        <f>'1_Inputs&amp;Hyp'!G35</f>
        <v>5.0000000000000001E-3</v>
      </c>
      <c r="H35" s="7">
        <f>'1_Inputs&amp;Hyp'!H35</f>
        <v>0.01</v>
      </c>
      <c r="I35" s="2"/>
      <c r="J35" s="2"/>
      <c r="K35" s="2"/>
      <c r="L35" s="2"/>
      <c r="M35" s="2"/>
      <c r="N35" s="2"/>
      <c r="O35" s="2"/>
      <c r="P35" s="2"/>
    </row>
    <row r="36" spans="4:16">
      <c r="D36" s="2" t="s">
        <v>38</v>
      </c>
      <c r="E36" s="2" t="s">
        <v>35</v>
      </c>
      <c r="F36" s="7">
        <f>'1_Inputs&amp;Hyp'!F36</f>
        <v>0</v>
      </c>
      <c r="G36" s="7">
        <f>'1_Inputs&amp;Hyp'!G36</f>
        <v>5.0000000000000001E-3</v>
      </c>
      <c r="H36" s="7">
        <f>'1_Inputs&amp;Hyp'!H36</f>
        <v>0.01</v>
      </c>
      <c r="I36" s="2"/>
      <c r="J36" s="2"/>
      <c r="K36" s="2"/>
      <c r="L36" s="2"/>
      <c r="M36" s="2"/>
      <c r="N36" s="2"/>
      <c r="O36" s="2"/>
      <c r="P36" s="2"/>
    </row>
    <row r="37" spans="4:16">
      <c r="D37" s="2" t="s">
        <v>39</v>
      </c>
      <c r="E37" s="2" t="s">
        <v>35</v>
      </c>
      <c r="F37" s="7">
        <f>'1_Inputs&amp;Hyp'!F37</f>
        <v>0.02</v>
      </c>
      <c r="G37" s="7">
        <f>'1_Inputs&amp;Hyp'!G37</f>
        <v>0.04</v>
      </c>
      <c r="H37" s="7">
        <f>'1_Inputs&amp;Hyp'!H37</f>
        <v>0.06</v>
      </c>
      <c r="I37" s="2"/>
      <c r="J37" s="2"/>
      <c r="K37" s="2"/>
      <c r="L37" s="2"/>
      <c r="M37" s="2"/>
      <c r="N37" s="2"/>
      <c r="O37" s="2"/>
      <c r="P37" s="2"/>
    </row>
    <row r="38" spans="4:16">
      <c r="D38" s="2" t="s">
        <v>41</v>
      </c>
      <c r="E38" s="2" t="s">
        <v>35</v>
      </c>
      <c r="F38" s="7">
        <f>'1_Inputs&amp;Hyp'!F38</f>
        <v>0.03</v>
      </c>
      <c r="G38" s="7">
        <f>'1_Inputs&amp;Hyp'!G38</f>
        <v>0.05</v>
      </c>
      <c r="H38" s="7">
        <f>'1_Inputs&amp;Hyp'!H38</f>
        <v>7.0000000000000007E-2</v>
      </c>
      <c r="I38" s="2"/>
      <c r="J38" s="2"/>
      <c r="K38" s="2"/>
      <c r="L38" s="2"/>
      <c r="M38" s="2"/>
      <c r="N38" s="2"/>
      <c r="O38" s="2"/>
      <c r="P38" s="2"/>
    </row>
    <row r="39" spans="4:16">
      <c r="D39" s="2" t="s">
        <v>43</v>
      </c>
      <c r="E39" s="2" t="s">
        <v>35</v>
      </c>
      <c r="F39" s="7">
        <f>'1_Inputs&amp;Hyp'!F39</f>
        <v>0.02</v>
      </c>
      <c r="G39" s="7">
        <f>'1_Inputs&amp;Hyp'!G39</f>
        <v>0.04</v>
      </c>
      <c r="H39" s="7">
        <f>'1_Inputs&amp;Hyp'!H39</f>
        <v>0.06</v>
      </c>
      <c r="I39" s="2"/>
      <c r="J39" s="2"/>
      <c r="K39" s="2"/>
      <c r="L39" s="2"/>
      <c r="M39" s="2"/>
      <c r="N39" s="2"/>
      <c r="O39" s="2"/>
      <c r="P39" s="2"/>
    </row>
    <row r="40" spans="4:16">
      <c r="D40" s="2" t="s">
        <v>44</v>
      </c>
      <c r="E40" s="2" t="s">
        <v>45</v>
      </c>
      <c r="F40" s="7">
        <f>'1_Inputs&amp;Hyp'!F40</f>
        <v>0.05</v>
      </c>
      <c r="G40" s="7">
        <f>'1_Inputs&amp;Hyp'!G40</f>
        <v>0.15</v>
      </c>
      <c r="H40" s="7">
        <f>'1_Inputs&amp;Hyp'!H40</f>
        <v>0.3</v>
      </c>
      <c r="I40" s="2"/>
      <c r="J40" s="2"/>
      <c r="K40" s="2"/>
      <c r="L40" s="2"/>
      <c r="M40" s="2"/>
      <c r="N40" s="2"/>
      <c r="O40" s="2"/>
      <c r="P40" s="2"/>
    </row>
    <row r="41" spans="4:16">
      <c r="D41" s="2" t="s">
        <v>46</v>
      </c>
      <c r="E41" s="2" t="s">
        <v>45</v>
      </c>
      <c r="F41" s="7">
        <f>'1_Inputs&amp;Hyp'!F41</f>
        <v>0.1</v>
      </c>
      <c r="G41" s="7">
        <f>'1_Inputs&amp;Hyp'!G41</f>
        <v>0.25</v>
      </c>
      <c r="H41" s="7">
        <f>'1_Inputs&amp;Hyp'!H41</f>
        <v>0.45</v>
      </c>
      <c r="I41" s="2"/>
      <c r="J41" s="2"/>
      <c r="K41" s="2"/>
      <c r="L41" s="2"/>
      <c r="M41" s="2"/>
      <c r="N41" s="2"/>
      <c r="O41" s="2"/>
      <c r="P41" s="2"/>
    </row>
    <row r="42" spans="4:16">
      <c r="D42" s="2" t="s">
        <v>47</v>
      </c>
      <c r="E42" s="2" t="s">
        <v>45</v>
      </c>
      <c r="F42" s="7">
        <f>'1_Inputs&amp;Hyp'!F42</f>
        <v>0.05</v>
      </c>
      <c r="G42" s="7">
        <f>'1_Inputs&amp;Hyp'!G42</f>
        <v>0.15</v>
      </c>
      <c r="H42" s="7">
        <f>'1_Inputs&amp;Hyp'!H42</f>
        <v>0.3</v>
      </c>
      <c r="I42" s="2"/>
      <c r="J42" s="2"/>
      <c r="K42" s="2"/>
      <c r="L42" s="2"/>
      <c r="M42" s="2"/>
      <c r="N42" s="2"/>
      <c r="O42" s="2"/>
      <c r="P42" s="2"/>
    </row>
    <row r="43" spans="4:16">
      <c r="D43" s="2" t="s">
        <v>48</v>
      </c>
      <c r="E43" s="2" t="s">
        <v>116</v>
      </c>
      <c r="F43" s="17">
        <f>'1_Inputs&amp;Hyp'!F43</f>
        <v>80</v>
      </c>
      <c r="G43" s="17">
        <f>'1_Inputs&amp;Hyp'!G43</f>
        <v>80</v>
      </c>
      <c r="H43" s="17">
        <f>'1_Inputs&amp;Hyp'!H43</f>
        <v>80</v>
      </c>
      <c r="I43" s="2"/>
      <c r="J43" s="2"/>
      <c r="K43" s="2"/>
      <c r="L43" s="2"/>
      <c r="M43" s="2"/>
      <c r="N43" s="2"/>
      <c r="O43" s="2"/>
      <c r="P43" s="2"/>
    </row>
    <row r="44" spans="4:16">
      <c r="D44" s="2" t="s">
        <v>50</v>
      </c>
      <c r="E44" s="2" t="s">
        <v>116</v>
      </c>
      <c r="F44" s="17">
        <f>'1_Inputs&amp;Hyp'!F44</f>
        <v>30</v>
      </c>
      <c r="G44" s="17">
        <f>'1_Inputs&amp;Hyp'!G44</f>
        <v>30</v>
      </c>
      <c r="H44" s="17">
        <f>'1_Inputs&amp;Hyp'!H44</f>
        <v>30</v>
      </c>
      <c r="I44" s="2"/>
      <c r="J44" s="2"/>
      <c r="K44" s="2"/>
      <c r="L44" s="2"/>
      <c r="M44" s="2"/>
      <c r="N44" s="2"/>
      <c r="O44" s="2"/>
      <c r="P44" s="2"/>
    </row>
    <row r="45" spans="4:16">
      <c r="D45" s="2" t="s">
        <v>51</v>
      </c>
      <c r="E45" s="2" t="s">
        <v>116</v>
      </c>
      <c r="F45" s="17">
        <f>'1_Inputs&amp;Hyp'!F45</f>
        <v>30</v>
      </c>
      <c r="G45" s="17">
        <f>'1_Inputs&amp;Hyp'!G45</f>
        <v>30</v>
      </c>
      <c r="H45" s="17">
        <f>'1_Inputs&amp;Hyp'!H45</f>
        <v>30</v>
      </c>
      <c r="I45" s="2"/>
      <c r="J45" s="2"/>
      <c r="K45" s="2"/>
      <c r="L45" s="2"/>
      <c r="M45" s="2"/>
      <c r="N45" s="2"/>
      <c r="O45" s="2"/>
      <c r="P45" s="2"/>
    </row>
    <row r="46" spans="4:16">
      <c r="D46" s="2" t="s">
        <v>53</v>
      </c>
      <c r="E46" s="2" t="s">
        <v>45</v>
      </c>
      <c r="F46" s="7">
        <f>'1_Inputs&amp;Hyp'!F46</f>
        <v>1</v>
      </c>
      <c r="G46" s="7">
        <f>'1_Inputs&amp;Hyp'!G46</f>
        <v>1</v>
      </c>
      <c r="H46" s="7">
        <f>'1_Inputs&amp;Hyp'!H46</f>
        <v>1</v>
      </c>
      <c r="I46" s="2"/>
      <c r="J46" s="2"/>
      <c r="K46" s="2"/>
      <c r="L46" s="2"/>
      <c r="M46" s="2"/>
      <c r="N46" s="2"/>
      <c r="O46" s="2"/>
      <c r="P46" s="2"/>
    </row>
    <row r="47" spans="4:16">
      <c r="D47" s="2" t="s">
        <v>55</v>
      </c>
      <c r="E47" s="2" t="s">
        <v>45</v>
      </c>
      <c r="F47" s="7">
        <f>'1_Inputs&amp;Hyp'!F47</f>
        <v>0.2</v>
      </c>
      <c r="G47" s="7">
        <f>'1_Inputs&amp;Hyp'!G47</f>
        <v>0.35</v>
      </c>
      <c r="H47" s="7">
        <f>'1_Inputs&amp;Hyp'!H47</f>
        <v>0.5</v>
      </c>
      <c r="I47" s="2"/>
      <c r="J47" s="2"/>
      <c r="K47" s="2"/>
      <c r="L47" s="2"/>
      <c r="M47" s="2"/>
      <c r="N47" s="2"/>
      <c r="O47" s="2"/>
      <c r="P47" s="2"/>
    </row>
    <row r="48" spans="4:16">
      <c r="D48" s="2" t="s">
        <v>56</v>
      </c>
      <c r="E48" s="2" t="s">
        <v>45</v>
      </c>
      <c r="F48" s="7">
        <f>'1_Inputs&amp;Hyp'!F48</f>
        <v>0.1</v>
      </c>
      <c r="G48" s="7">
        <f>'1_Inputs&amp;Hyp'!G48</f>
        <v>0.2</v>
      </c>
      <c r="H48" s="7">
        <f>'1_Inputs&amp;Hyp'!H48</f>
        <v>0.35</v>
      </c>
      <c r="I48" s="2"/>
      <c r="J48" s="2"/>
      <c r="K48" s="2"/>
      <c r="L48" s="2"/>
      <c r="M48" s="2"/>
      <c r="N48" s="2"/>
      <c r="O48" s="2"/>
      <c r="P48" s="2"/>
    </row>
    <row r="49" spans="2:18">
      <c r="D49" s="2" t="s">
        <v>57</v>
      </c>
      <c r="E49" s="2" t="s">
        <v>45</v>
      </c>
      <c r="F49" s="7">
        <f>'1_Inputs&amp;Hyp'!F49</f>
        <v>0.25</v>
      </c>
      <c r="G49" s="7">
        <f>'1_Inputs&amp;Hyp'!G49</f>
        <v>0.6</v>
      </c>
      <c r="H49" s="7">
        <f>'1_Inputs&amp;Hyp'!H49</f>
        <v>1</v>
      </c>
      <c r="I49" s="2"/>
      <c r="J49" s="2"/>
      <c r="K49" s="2"/>
      <c r="L49" s="2"/>
      <c r="M49" s="2"/>
      <c r="N49" s="2"/>
      <c r="O49" s="2"/>
      <c r="P49" s="2"/>
    </row>
    <row r="50" spans="2:18">
      <c r="D50" s="2" t="s">
        <v>59</v>
      </c>
      <c r="E50" s="2" t="s">
        <v>45</v>
      </c>
      <c r="F50" s="7">
        <f>'1_Inputs&amp;Hyp'!F50</f>
        <v>0.15</v>
      </c>
      <c r="G50" s="7">
        <f>'1_Inputs&amp;Hyp'!G50</f>
        <v>0.4</v>
      </c>
      <c r="H50" s="7">
        <f>'1_Inputs&amp;Hyp'!H50</f>
        <v>0.75</v>
      </c>
      <c r="I50" s="2"/>
      <c r="J50" s="2"/>
      <c r="K50" s="2"/>
      <c r="L50" s="2"/>
      <c r="M50" s="2"/>
      <c r="N50" s="2"/>
      <c r="O50" s="2"/>
      <c r="P50" s="2"/>
    </row>
    <row r="51" spans="2:18">
      <c r="D51" s="2" t="s">
        <v>60</v>
      </c>
      <c r="E51" s="2" t="s">
        <v>45</v>
      </c>
      <c r="F51" s="7">
        <f>'1_Inputs&amp;Hyp'!F51</f>
        <v>0.1</v>
      </c>
      <c r="G51" s="7">
        <f>'1_Inputs&amp;Hyp'!G51</f>
        <v>0.3</v>
      </c>
      <c r="H51" s="7">
        <f>'1_Inputs&amp;Hyp'!H51</f>
        <v>0.6</v>
      </c>
      <c r="I51" s="2"/>
      <c r="J51" s="2"/>
      <c r="K51" s="2"/>
      <c r="L51" s="2"/>
      <c r="M51" s="2"/>
      <c r="N51" s="2"/>
      <c r="O51" s="2"/>
      <c r="P51" s="2"/>
    </row>
    <row r="52" spans="2:18"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2:18"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2:18" ht="16.2" customHeight="1">
      <c r="B54" s="3" t="s">
        <v>61</v>
      </c>
      <c r="D54" s="74" t="s">
        <v>117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</row>
    <row r="55" spans="2:18" ht="16.2" customHeight="1"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</row>
    <row r="56" spans="2:18" ht="16.2" customHeight="1">
      <c r="C56" s="3" t="s">
        <v>118</v>
      </c>
      <c r="D56" s="70" t="s">
        <v>119</v>
      </c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</row>
    <row r="57" spans="2:18" ht="16.2" customHeight="1"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</row>
    <row r="58" spans="2:18" ht="15.6" thickBot="1">
      <c r="D58" s="22" t="s">
        <v>5</v>
      </c>
      <c r="E58" s="22" t="s">
        <v>4</v>
      </c>
      <c r="F58" s="22" t="s">
        <v>120</v>
      </c>
      <c r="G58" s="22" t="s">
        <v>121</v>
      </c>
      <c r="H58" s="22" t="s">
        <v>122</v>
      </c>
      <c r="I58" s="22" t="s">
        <v>123</v>
      </c>
      <c r="J58" s="22" t="s">
        <v>124</v>
      </c>
      <c r="K58" s="22" t="s">
        <v>125</v>
      </c>
      <c r="L58" s="22" t="s">
        <v>126</v>
      </c>
      <c r="M58" s="22" t="s">
        <v>127</v>
      </c>
      <c r="N58" s="22" t="s">
        <v>128</v>
      </c>
      <c r="O58" s="22" t="s">
        <v>129</v>
      </c>
      <c r="P58" s="22" t="s">
        <v>130</v>
      </c>
    </row>
    <row r="59" spans="2:18">
      <c r="D59" s="2" t="s">
        <v>9</v>
      </c>
      <c r="E59" s="8">
        <f>F$9</f>
        <v>80</v>
      </c>
      <c r="F59" s="15">
        <f>(1+_xlfn.XLOOKUP($D$56,$F$33:$H$33,$F$34:$H$34))^9</f>
        <v>1</v>
      </c>
      <c r="G59" s="15">
        <f>(1+_xlfn.XLOOKUP($D$56,$F$33:$H$33,$F$37:$H$37))^9</f>
        <v>1.1950925686223108</v>
      </c>
      <c r="H59" s="23">
        <f>('1_Inputs&amp;Hyp'!F59/'1_Inputs&amp;Hyp'!F57)*'1_Inputs&amp;Hyp'!F62</f>
        <v>11.67578125</v>
      </c>
      <c r="I59" s="8">
        <f>H$9*F59*G59+G$9*H59</f>
        <v>736.60632524284426</v>
      </c>
      <c r="J59" s="15">
        <f>_xlfn.XLOOKUP($D$56,$F$33:$H$33,$F$40:$H$40)</f>
        <v>0.05</v>
      </c>
      <c r="K59" s="8">
        <f t="shared" ref="K59:K66" si="1">I59*J59</f>
        <v>36.830316262142212</v>
      </c>
      <c r="L59" s="8">
        <f>I59+K59</f>
        <v>773.43664150498648</v>
      </c>
      <c r="M59" s="15">
        <f t="shared" ref="M59:M64" si="2">_xlfn.XLOOKUP($D$56,$F$33:$H$33,$F$46:$H$46)</f>
        <v>1</v>
      </c>
      <c r="N59" s="15">
        <f>_xlfn.XLOOKUP($D$56,$F$33:$H$33,$F$49:$H$49)</f>
        <v>0.25</v>
      </c>
      <c r="O59" s="8">
        <f>I59*M59+K59*N59</f>
        <v>745.81390430837985</v>
      </c>
      <c r="P59" s="4">
        <f>O59/1000</f>
        <v>0.74581390430837979</v>
      </c>
      <c r="R59" s="71">
        <f>O59</f>
        <v>745.81390430837985</v>
      </c>
    </row>
    <row r="60" spans="2:18">
      <c r="D60" s="2" t="s">
        <v>12</v>
      </c>
      <c r="E60" s="8">
        <f>F$10</f>
        <v>10</v>
      </c>
      <c r="F60" s="15">
        <f>(1+_xlfn.XLOOKUP($D$56,$F$33:$H$33,$F$34:$H$34))^9</f>
        <v>1</v>
      </c>
      <c r="G60" s="15">
        <f>(1+_xlfn.XLOOKUP($D$56,$F$33:$H$33,$F$37:$H$37))^9</f>
        <v>1.1950925686223108</v>
      </c>
      <c r="H60" s="31">
        <v>1</v>
      </c>
      <c r="I60" s="8">
        <f>E60*F60*G60</f>
        <v>11.950925686223108</v>
      </c>
      <c r="J60" s="15">
        <f>_xlfn.XLOOKUP($D$56,$F$33:$H$33,$F$40:$H$40)</f>
        <v>0.05</v>
      </c>
      <c r="K60" s="8">
        <f t="shared" si="1"/>
        <v>0.59754628431115542</v>
      </c>
      <c r="L60" s="8">
        <f t="shared" ref="L60:L66" si="3">I60+K60</f>
        <v>12.548471970534264</v>
      </c>
      <c r="M60" s="15">
        <f t="shared" si="2"/>
        <v>1</v>
      </c>
      <c r="N60" s="15">
        <f>_xlfn.XLOOKUP($D$56,$F$33:$H$33,$F$49:$H$49)</f>
        <v>0.25</v>
      </c>
      <c r="O60" s="8">
        <f t="shared" ref="O60:O66" si="4">I60*M60+K60*N60</f>
        <v>12.100312257300898</v>
      </c>
      <c r="P60" s="4">
        <f t="shared" ref="P60:P66" si="5">O60/1000</f>
        <v>1.2100312257300898E-2</v>
      </c>
      <c r="R60" s="72">
        <f>O60+O61+O62</f>
        <v>121.00312257300898</v>
      </c>
    </row>
    <row r="61" spans="2:18">
      <c r="D61" s="2" t="s">
        <v>13</v>
      </c>
      <c r="E61" s="8">
        <f>F$11</f>
        <v>10</v>
      </c>
      <c r="F61" s="15">
        <f>(1+_xlfn.XLOOKUP($D$56,$F$33:$H$33,$F$34:$H$34))^9</f>
        <v>1</v>
      </c>
      <c r="G61" s="15">
        <f>(1+_xlfn.XLOOKUP($D$56,$F$33:$H$33,$F$37:$H$37))^9</f>
        <v>1.1950925686223108</v>
      </c>
      <c r="H61" s="31">
        <v>1</v>
      </c>
      <c r="I61" s="8">
        <f>E61*F61*G61</f>
        <v>11.950925686223108</v>
      </c>
      <c r="J61" s="15">
        <f>_xlfn.XLOOKUP($D$56,$F$33:$H$33,$F$40:$H$40)</f>
        <v>0.05</v>
      </c>
      <c r="K61" s="8">
        <f t="shared" si="1"/>
        <v>0.59754628431115542</v>
      </c>
      <c r="L61" s="8">
        <f t="shared" si="3"/>
        <v>12.548471970534264</v>
      </c>
      <c r="M61" s="15">
        <f t="shared" si="2"/>
        <v>1</v>
      </c>
      <c r="N61" s="15">
        <f>_xlfn.XLOOKUP($D$56,$F$33:$H$33,$F$49:$H$49)</f>
        <v>0.25</v>
      </c>
      <c r="O61" s="8">
        <f t="shared" si="4"/>
        <v>12.100312257300898</v>
      </c>
      <c r="P61" s="4">
        <f t="shared" si="5"/>
        <v>1.2100312257300898E-2</v>
      </c>
      <c r="R61" s="71">
        <f>O63</f>
        <v>125.65758549425978</v>
      </c>
    </row>
    <row r="62" spans="2:18">
      <c r="D62" s="2" t="s">
        <v>14</v>
      </c>
      <c r="E62" s="8">
        <f>F$12</f>
        <v>80</v>
      </c>
      <c r="F62" s="15">
        <f>(1+_xlfn.XLOOKUP($D$56,$F$33:$H$33,$F$34:$H$34))^9</f>
        <v>1</v>
      </c>
      <c r="G62" s="15">
        <f>(1+_xlfn.XLOOKUP($D$56,$F$33:$H$33,$F$37:$H$37))^9</f>
        <v>1.1950925686223108</v>
      </c>
      <c r="H62" s="31">
        <v>1</v>
      </c>
      <c r="I62" s="8">
        <f>E62*F62*G62</f>
        <v>95.607405489784867</v>
      </c>
      <c r="J62" s="15">
        <f>_xlfn.XLOOKUP($D$56,$F$33:$H$33,$F$40:$H$40)</f>
        <v>0.05</v>
      </c>
      <c r="K62" s="8">
        <f t="shared" si="1"/>
        <v>4.7803702744892433</v>
      </c>
      <c r="L62" s="8">
        <f t="shared" si="3"/>
        <v>100.38777576427411</v>
      </c>
      <c r="M62" s="15">
        <f t="shared" si="2"/>
        <v>1</v>
      </c>
      <c r="N62" s="15">
        <f>_xlfn.XLOOKUP($D$56,$F$33:$H$33,$F$49:$H$49)</f>
        <v>0.25</v>
      </c>
      <c r="O62" s="8">
        <f t="shared" si="4"/>
        <v>96.802498058407181</v>
      </c>
      <c r="P62" s="4">
        <f t="shared" si="5"/>
        <v>9.6802498058407183E-2</v>
      </c>
      <c r="R62" s="71">
        <f t="shared" ref="R62:R64" si="6">O64</f>
        <v>312.27768818100981</v>
      </c>
    </row>
    <row r="63" spans="2:18">
      <c r="D63" s="2" t="s">
        <v>15</v>
      </c>
      <c r="E63" s="8">
        <f>F$13</f>
        <v>80</v>
      </c>
      <c r="F63" s="38">
        <f>(1+_xlfn.XLOOKUP(D56,'1_Inputs&amp;Hyp'!$F$66:$H$66,'1_Inputs&amp;Hyp'!$F$67:$H$67))^9</f>
        <v>1</v>
      </c>
      <c r="G63" s="38">
        <f>(1+_xlfn.XLOOKUP($D$56,$F$33:$H$33,$F$37:$H$37))^9</f>
        <v>1.1950925686223108</v>
      </c>
      <c r="H63" s="23">
        <f>(1+_xlfn.XLOOKUP(D56,'1_Inputs&amp;Hyp'!$F$66:$H$66,'1_Inputs&amp;Hyp'!$F$68:$H$68))^9</f>
        <v>1.5513282159785158</v>
      </c>
      <c r="I63" s="8">
        <f>H$13*F63*G63+G$13*H63</f>
        <v>124.10625727828126</v>
      </c>
      <c r="J63" s="15">
        <f>_xlfn.XLOOKUP($D$56,$F$33:$H$33,$F$40:$H$40)</f>
        <v>0.05</v>
      </c>
      <c r="K63" s="8">
        <f t="shared" si="1"/>
        <v>6.2053128639140631</v>
      </c>
      <c r="L63" s="8">
        <f t="shared" si="3"/>
        <v>130.31157014219534</v>
      </c>
      <c r="M63" s="15">
        <f t="shared" si="2"/>
        <v>1</v>
      </c>
      <c r="N63" s="15">
        <f>_xlfn.XLOOKUP($D$56,$F$33:$H$33,$F$49:$H$49)</f>
        <v>0.25</v>
      </c>
      <c r="O63" s="8">
        <f t="shared" si="4"/>
        <v>125.65758549425978</v>
      </c>
      <c r="P63" s="4">
        <f t="shared" si="5"/>
        <v>0.12565758549425979</v>
      </c>
      <c r="R63" s="71">
        <f t="shared" si="6"/>
        <v>169.07877207187587</v>
      </c>
    </row>
    <row r="64" spans="2:18">
      <c r="D64" s="2" t="s">
        <v>103</v>
      </c>
      <c r="E64" s="8">
        <f>F$14</f>
        <v>260</v>
      </c>
      <c r="F64" s="15">
        <f>(1+_xlfn.XLOOKUP($D$56,$F$33:$H$33,$F$36:$H$36))^9</f>
        <v>1</v>
      </c>
      <c r="G64" s="15">
        <f>(1+_xlfn.XLOOKUP($D$56,$F$33:$H$33,$F$39:$H$39))^9</f>
        <v>1.1950925686223108</v>
      </c>
      <c r="H64" s="31">
        <v>1</v>
      </c>
      <c r="I64" s="8">
        <f>E64*F64*G64</f>
        <v>310.72406784180083</v>
      </c>
      <c r="J64" s="15">
        <f>_xlfn.XLOOKUP($D$56,$F$33:$H$33,$F$42:$H$42)</f>
        <v>0.05</v>
      </c>
      <c r="K64" s="8">
        <f t="shared" si="1"/>
        <v>15.536203392090043</v>
      </c>
      <c r="L64" s="8">
        <f t="shared" si="3"/>
        <v>326.26027123389088</v>
      </c>
      <c r="M64" s="15">
        <f t="shared" si="2"/>
        <v>1</v>
      </c>
      <c r="N64" s="15">
        <f>_xlfn.XLOOKUP($D$56,$F$33:$H$33,$F$51:$H$51)</f>
        <v>0.1</v>
      </c>
      <c r="O64" s="8">
        <f t="shared" si="4"/>
        <v>312.27768818100981</v>
      </c>
      <c r="P64" s="4">
        <f t="shared" si="5"/>
        <v>0.31227768818100982</v>
      </c>
      <c r="R64" s="71">
        <f t="shared" si="6"/>
        <v>210.51316577768281</v>
      </c>
    </row>
    <row r="65" spans="3:18">
      <c r="D65" s="2" t="s">
        <v>17</v>
      </c>
      <c r="E65" s="8">
        <f>F$15</f>
        <v>602.72</v>
      </c>
      <c r="F65" s="15">
        <f>(1+_xlfn.XLOOKUP($D$56,$F$33:$H$33,$F$35:$H$35))^9</f>
        <v>1</v>
      </c>
      <c r="G65" s="15">
        <f>(1+_xlfn.XLOOKUP($D$56,$F$33:$H$33,$F$38:$H$38))^9</f>
        <v>1.3047731838292445</v>
      </c>
      <c r="H65" s="31">
        <v>1</v>
      </c>
      <c r="I65" s="8">
        <f>E65*F65*G65</f>
        <v>786.41289335756221</v>
      </c>
      <c r="J65" s="15">
        <f>_xlfn.XLOOKUP($D$56,$F$33:$H$33,$F$41:$H$41)</f>
        <v>0.1</v>
      </c>
      <c r="K65" s="8">
        <f t="shared" si="1"/>
        <v>78.641289335756227</v>
      </c>
      <c r="L65" s="8">
        <f t="shared" si="3"/>
        <v>865.05418269331847</v>
      </c>
      <c r="M65" s="15">
        <f>_xlfn.XLOOKUP($D$56,$F$33:$H$33,$F$47:$H$47)</f>
        <v>0.2</v>
      </c>
      <c r="N65" s="15">
        <f>_xlfn.XLOOKUP($D$56,$F$33:$H$33,$F$50:$H$50)</f>
        <v>0.15</v>
      </c>
      <c r="O65" s="8">
        <f t="shared" si="4"/>
        <v>169.07877207187587</v>
      </c>
      <c r="P65" s="4">
        <f t="shared" si="5"/>
        <v>0.16907877207187588</v>
      </c>
      <c r="R65" s="71"/>
    </row>
    <row r="66" spans="3:18">
      <c r="D66" s="2" t="s">
        <v>20</v>
      </c>
      <c r="E66" s="8">
        <f>F$16</f>
        <v>1677.6</v>
      </c>
      <c r="F66" s="15">
        <f>(1+_xlfn.XLOOKUP($D$56,$F$33:$H$33,$F$36:$H$36))^9</f>
        <v>1</v>
      </c>
      <c r="G66" s="15">
        <f>(1+_xlfn.XLOOKUP($D$56,$F$33:$H$33,$F$39:$H$39))^9</f>
        <v>1.1950925686223108</v>
      </c>
      <c r="H66" s="31">
        <v>1</v>
      </c>
      <c r="I66" s="8">
        <f>E66*F66*G66</f>
        <v>2004.8872931207886</v>
      </c>
      <c r="J66" s="15">
        <f>_xlfn.XLOOKUP($D$56,$F$33:$H$33,$F$42:$H$42)</f>
        <v>0.05</v>
      </c>
      <c r="K66" s="8">
        <f t="shared" si="1"/>
        <v>100.24436465603944</v>
      </c>
      <c r="L66" s="8">
        <f t="shared" si="3"/>
        <v>2105.131657776828</v>
      </c>
      <c r="M66" s="15">
        <f>_xlfn.XLOOKUP($D$56,$F$33:$H$33,$F$48:$H$48)</f>
        <v>0.1</v>
      </c>
      <c r="N66" s="15">
        <f>_xlfn.XLOOKUP($D$56,$F$33:$H$33,$F$51:$H$51)</f>
        <v>0.1</v>
      </c>
      <c r="O66" s="8">
        <f t="shared" si="4"/>
        <v>210.51316577768281</v>
      </c>
      <c r="P66" s="4">
        <f t="shared" si="5"/>
        <v>0.21051316577768281</v>
      </c>
      <c r="R66" s="71"/>
    </row>
    <row r="67" spans="3:18">
      <c r="D67" s="2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4"/>
    </row>
    <row r="68" spans="3:18">
      <c r="D68" s="5" t="s">
        <v>104</v>
      </c>
      <c r="E68" s="16">
        <f>SUM(E59:E66)</f>
        <v>2800.3199999999997</v>
      </c>
      <c r="F68" s="16"/>
      <c r="G68" s="16"/>
      <c r="H68" s="16"/>
      <c r="I68" s="16">
        <f>SUM(I59:I66)</f>
        <v>4082.2460937035084</v>
      </c>
      <c r="J68" s="16"/>
      <c r="K68" s="16">
        <f>SUM(K59:K66)</f>
        <v>243.43294935305354</v>
      </c>
      <c r="L68" s="16">
        <f>SUM(L59:L66)</f>
        <v>4325.6790430565616</v>
      </c>
      <c r="M68" s="16"/>
      <c r="N68" s="16"/>
      <c r="O68" s="16">
        <f>SUM(O59:O66)</f>
        <v>1684.3442384062171</v>
      </c>
      <c r="P68" s="16">
        <f>SUM(P59:P66)</f>
        <v>1.6843442384062171</v>
      </c>
    </row>
    <row r="69" spans="3:18"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3:18"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3:18" ht="16.2" customHeight="1">
      <c r="C71" s="3" t="s">
        <v>131</v>
      </c>
      <c r="D71" s="70" t="s">
        <v>132</v>
      </c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</row>
    <row r="72" spans="3:18" ht="16.2" customHeight="1"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</row>
    <row r="73" spans="3:18" ht="15.6" thickBot="1">
      <c r="D73" s="22" t="s">
        <v>5</v>
      </c>
      <c r="E73" s="22" t="s">
        <v>4</v>
      </c>
      <c r="F73" s="22" t="s">
        <v>120</v>
      </c>
      <c r="G73" s="22" t="s">
        <v>121</v>
      </c>
      <c r="H73" s="22" t="s">
        <v>122</v>
      </c>
      <c r="I73" s="22" t="s">
        <v>123</v>
      </c>
      <c r="J73" s="22" t="s">
        <v>124</v>
      </c>
      <c r="K73" s="22" t="s">
        <v>125</v>
      </c>
      <c r="L73" s="22" t="s">
        <v>126</v>
      </c>
      <c r="M73" s="22" t="s">
        <v>127</v>
      </c>
      <c r="N73" s="22" t="s">
        <v>128</v>
      </c>
      <c r="O73" s="22" t="s">
        <v>129</v>
      </c>
      <c r="P73" s="22" t="s">
        <v>130</v>
      </c>
    </row>
    <row r="74" spans="3:18">
      <c r="D74" s="2" t="s">
        <v>9</v>
      </c>
      <c r="E74" s="8">
        <f>F$9</f>
        <v>80</v>
      </c>
      <c r="F74" s="15">
        <f>(1+_xlfn.XLOOKUP($D$71,$F$33:$H$33,$F$34:$H$34))^9</f>
        <v>1.045910579145064</v>
      </c>
      <c r="G74" s="15">
        <f>(1+_xlfn.XLOOKUP($D$71,$F$33:$H$33,$F$37:$H$37))^9</f>
        <v>1.4233118124214852</v>
      </c>
      <c r="H74" s="30">
        <f>('1_Inputs&amp;Hyp'!F59/'1_Inputs&amp;Hyp'!F57)*'1_Inputs&amp;Hyp'!F62</f>
        <v>11.67578125</v>
      </c>
      <c r="I74" s="8">
        <f>H$9*F74*G74+G$9*H74</f>
        <v>742.13707690751608</v>
      </c>
      <c r="J74" s="15">
        <f>_xlfn.XLOOKUP($D$71,$F$33:$H$33,$F$40:$H$40)</f>
        <v>0.15</v>
      </c>
      <c r="K74" s="8">
        <f t="shared" ref="K74:K81" si="7">I74*J74</f>
        <v>111.32056153612741</v>
      </c>
      <c r="L74" s="8">
        <f>I74+K74</f>
        <v>853.45763844364353</v>
      </c>
      <c r="M74" s="15">
        <f t="shared" ref="M74:M79" si="8">_xlfn.XLOOKUP($D$71,$F$33:$H$33,$F$46:$H$46)</f>
        <v>1</v>
      </c>
      <c r="N74" s="15">
        <f>_xlfn.XLOOKUP($D$71,$F$33:$H$33,$F$49:$H$49)</f>
        <v>0.6</v>
      </c>
      <c r="O74" s="8">
        <f>I74*M74+K74*N74</f>
        <v>808.92941382919253</v>
      </c>
      <c r="P74" s="4">
        <f>O74/1000</f>
        <v>0.80892941382919248</v>
      </c>
      <c r="R74" s="71">
        <f>O74</f>
        <v>808.92941382919253</v>
      </c>
    </row>
    <row r="75" spans="3:18">
      <c r="D75" s="2" t="s">
        <v>12</v>
      </c>
      <c r="E75" s="8">
        <f>F$10</f>
        <v>10</v>
      </c>
      <c r="F75" s="15">
        <f>(1+_xlfn.XLOOKUP($D$71,$F$33:$H$33,$F$34:$H$34))^9</f>
        <v>1.045910579145064</v>
      </c>
      <c r="G75" s="15">
        <f>(1+_xlfn.XLOOKUP($D$71,$F$33:$H$33,$F$37:$H$37))^9</f>
        <v>1.4233118124214852</v>
      </c>
      <c r="H75" s="31">
        <v>1</v>
      </c>
      <c r="I75" s="8">
        <f>E75*F75*G75</f>
        <v>14.886568820337661</v>
      </c>
      <c r="J75" s="15">
        <f>_xlfn.XLOOKUP($D$71,$F$33:$H$33,$F$40:$H$40)</f>
        <v>0.15</v>
      </c>
      <c r="K75" s="8">
        <f t="shared" si="7"/>
        <v>2.2329853230506491</v>
      </c>
      <c r="L75" s="8">
        <f t="shared" ref="L75:L81" si="9">I75+K75</f>
        <v>17.11955414338831</v>
      </c>
      <c r="M75" s="15">
        <f t="shared" si="8"/>
        <v>1</v>
      </c>
      <c r="N75" s="15">
        <f>_xlfn.XLOOKUP($D$71,$F$33:$H$33,$F$49:$H$49)</f>
        <v>0.6</v>
      </c>
      <c r="O75" s="8">
        <f t="shared" ref="O75:O81" si="10">I75*M75+K75*N75</f>
        <v>16.226360014168051</v>
      </c>
      <c r="P75" s="4">
        <f t="shared" ref="P75:P81" si="11">O75/1000</f>
        <v>1.6226360014168051E-2</v>
      </c>
      <c r="R75" s="72">
        <f>O75+O76+O77</f>
        <v>162.26360014168051</v>
      </c>
    </row>
    <row r="76" spans="3:18">
      <c r="D76" s="2" t="s">
        <v>13</v>
      </c>
      <c r="E76" s="8">
        <f>F$11</f>
        <v>10</v>
      </c>
      <c r="F76" s="15">
        <f>(1+_xlfn.XLOOKUP($D$71,$F$33:$H$33,$F$34:$H$34))^9</f>
        <v>1.045910579145064</v>
      </c>
      <c r="G76" s="15">
        <f>(1+_xlfn.XLOOKUP($D$71,$F$33:$H$33,$F$37:$H$37))^9</f>
        <v>1.4233118124214852</v>
      </c>
      <c r="H76" s="31">
        <v>1</v>
      </c>
      <c r="I76" s="8">
        <f>E76*F76*G76</f>
        <v>14.886568820337661</v>
      </c>
      <c r="J76" s="15">
        <f>_xlfn.XLOOKUP($D$71,$F$33:$H$33,$F$40:$H$40)</f>
        <v>0.15</v>
      </c>
      <c r="K76" s="8">
        <f t="shared" si="7"/>
        <v>2.2329853230506491</v>
      </c>
      <c r="L76" s="8">
        <f t="shared" si="9"/>
        <v>17.11955414338831</v>
      </c>
      <c r="M76" s="15">
        <f t="shared" si="8"/>
        <v>1</v>
      </c>
      <c r="N76" s="15">
        <f>_xlfn.XLOOKUP($D$71,$F$33:$H$33,$F$49:$H$49)</f>
        <v>0.6</v>
      </c>
      <c r="O76" s="8">
        <f t="shared" si="10"/>
        <v>16.226360014168051</v>
      </c>
      <c r="P76" s="4">
        <f t="shared" si="11"/>
        <v>1.6226360014168051E-2</v>
      </c>
      <c r="R76" s="71">
        <f>O78</f>
        <v>205.61303865520011</v>
      </c>
    </row>
    <row r="77" spans="3:18">
      <c r="D77" s="2" t="s">
        <v>14</v>
      </c>
      <c r="E77" s="8">
        <f>F$12</f>
        <v>80</v>
      </c>
      <c r="F77" s="15">
        <f>(1+_xlfn.XLOOKUP($D$71,$F$33:$H$33,$F$34:$H$34))^9</f>
        <v>1.045910579145064</v>
      </c>
      <c r="G77" s="15">
        <f>(1+_xlfn.XLOOKUP($D$71,$F$33:$H$33,$F$37:$H$37))^9</f>
        <v>1.4233118124214852</v>
      </c>
      <c r="H77" s="31">
        <v>1</v>
      </c>
      <c r="I77" s="8">
        <f>E77*F77*G77</f>
        <v>119.09255056270129</v>
      </c>
      <c r="J77" s="15">
        <f>_xlfn.XLOOKUP($D$71,$F$33:$H$33,$F$40:$H$40)</f>
        <v>0.15</v>
      </c>
      <c r="K77" s="8">
        <f t="shared" si="7"/>
        <v>17.863882584405193</v>
      </c>
      <c r="L77" s="8">
        <f t="shared" si="9"/>
        <v>136.95643314710648</v>
      </c>
      <c r="M77" s="15">
        <f t="shared" si="8"/>
        <v>1</v>
      </c>
      <c r="N77" s="15">
        <f>_xlfn.XLOOKUP($D$71,$F$33:$H$33,$F$49:$H$49)</f>
        <v>0.6</v>
      </c>
      <c r="O77" s="8">
        <f t="shared" si="10"/>
        <v>129.81088011334441</v>
      </c>
      <c r="P77" s="4">
        <f t="shared" si="11"/>
        <v>0.12981088011334441</v>
      </c>
      <c r="R77" s="71">
        <f t="shared" ref="R77:R79" si="12">O79</f>
        <v>404.4680748485743</v>
      </c>
    </row>
    <row r="78" spans="3:18">
      <c r="D78" s="2" t="s">
        <v>15</v>
      </c>
      <c r="E78" s="8">
        <f>F$13</f>
        <v>80</v>
      </c>
      <c r="F78" s="38">
        <f>(1+_xlfn.XLOOKUP(D71,'1_Inputs&amp;Hyp'!$F$66:$H$66,'1_Inputs&amp;Hyp'!$F$67:$H$67))^9</f>
        <v>1.045910579145064</v>
      </c>
      <c r="G78" s="38">
        <f>(1+_xlfn.XLOOKUP($D$71,$F$33:$H$33,$F$37:$H$37))^9</f>
        <v>1.4233118124214852</v>
      </c>
      <c r="H78" s="23">
        <f>(1+_xlfn.XLOOKUP(D71,'1_Inputs&amp;Hyp'!$F$66:$H$66,'1_Inputs&amp;Hyp'!$F$68:$H$68))^9</f>
        <v>2.3579476910000015</v>
      </c>
      <c r="I78" s="8">
        <f>H$13*F78*G78+G$13*H78</f>
        <v>188.63581528000012</v>
      </c>
      <c r="J78" s="15">
        <f>_xlfn.XLOOKUP($D$71,$F$33:$H$33,$F$40:$H$40)</f>
        <v>0.15</v>
      </c>
      <c r="K78" s="8">
        <f t="shared" si="7"/>
        <v>28.295372292000017</v>
      </c>
      <c r="L78" s="8">
        <f t="shared" si="9"/>
        <v>216.93118757200014</v>
      </c>
      <c r="M78" s="15">
        <f t="shared" si="8"/>
        <v>1</v>
      </c>
      <c r="N78" s="15">
        <f>_xlfn.XLOOKUP($D$71,$F$33:$H$33,$F$49:$H$49)</f>
        <v>0.6</v>
      </c>
      <c r="O78" s="8">
        <f>I78*M78+K78*N78</f>
        <v>205.61303865520011</v>
      </c>
      <c r="P78" s="4">
        <f>O78/1000</f>
        <v>0.20561303865520011</v>
      </c>
      <c r="R78" s="71">
        <f t="shared" si="12"/>
        <v>440.07466198651497</v>
      </c>
    </row>
    <row r="79" spans="3:18">
      <c r="D79" s="2" t="s">
        <v>103</v>
      </c>
      <c r="E79" s="8">
        <f>F$14</f>
        <v>260</v>
      </c>
      <c r="F79" s="15">
        <f>(1+_xlfn.XLOOKUP($D$71,$F$33:$H$33,$F$36:$H$36))^9</f>
        <v>1.045910579145064</v>
      </c>
      <c r="G79" s="15">
        <f>(1+_xlfn.XLOOKUP($D$71,$F$33:$H$33,$F$39:$H$39))^9</f>
        <v>1.4233118124214852</v>
      </c>
      <c r="H79" s="31">
        <v>1</v>
      </c>
      <c r="I79" s="8">
        <f>E79*F79*G79</f>
        <v>387.05078932877922</v>
      </c>
      <c r="J79" s="15">
        <f>_xlfn.XLOOKUP($D$71,$F$33:$H$33,$F$42:$H$42)</f>
        <v>0.15</v>
      </c>
      <c r="K79" s="8">
        <f t="shared" si="7"/>
        <v>58.05761839931688</v>
      </c>
      <c r="L79" s="8">
        <f t="shared" si="9"/>
        <v>445.1084077280961</v>
      </c>
      <c r="M79" s="15">
        <f t="shared" si="8"/>
        <v>1</v>
      </c>
      <c r="N79" s="15">
        <f>_xlfn.XLOOKUP($D$71,$F$33:$H$33,$F$51:$H$51)</f>
        <v>0.3</v>
      </c>
      <c r="O79" s="8">
        <f t="shared" si="10"/>
        <v>404.4680748485743</v>
      </c>
      <c r="P79" s="4">
        <f t="shared" si="11"/>
        <v>0.40446807484857428</v>
      </c>
      <c r="R79" s="71">
        <f t="shared" si="12"/>
        <v>611.8558423984623</v>
      </c>
    </row>
    <row r="80" spans="3:18">
      <c r="D80" s="2" t="s">
        <v>17</v>
      </c>
      <c r="E80" s="8">
        <f>F$15</f>
        <v>602.72</v>
      </c>
      <c r="F80" s="15">
        <f>(1+_xlfn.XLOOKUP($D$71,$F$33:$H$33,$F$35:$H$35))^9</f>
        <v>1.045910579145064</v>
      </c>
      <c r="G80" s="15">
        <f>(1+_xlfn.XLOOKUP($D$71,$F$33:$H$33,$F$38:$H$38))^9</f>
        <v>1.5513282159785158</v>
      </c>
      <c r="H80" s="31">
        <v>1</v>
      </c>
      <c r="I80" s="8">
        <f>E80*F80*G80</f>
        <v>977.94369330336656</v>
      </c>
      <c r="J80" s="15">
        <f>_xlfn.XLOOKUP($D$71,$F$33:$H$33,$F$41:$H$41)</f>
        <v>0.25</v>
      </c>
      <c r="K80" s="8">
        <f t="shared" si="7"/>
        <v>244.48592332584164</v>
      </c>
      <c r="L80" s="8">
        <f t="shared" si="9"/>
        <v>1222.4296166292081</v>
      </c>
      <c r="M80" s="15">
        <f>_xlfn.XLOOKUP($D$71,$F$33:$H$33,$F$47:$H$47)</f>
        <v>0.35</v>
      </c>
      <c r="N80" s="15">
        <f>_xlfn.XLOOKUP($D$71,$F$33:$H$33,$F$50:$H$50)</f>
        <v>0.4</v>
      </c>
      <c r="O80" s="8">
        <f t="shared" si="10"/>
        <v>440.07466198651497</v>
      </c>
      <c r="P80" s="4">
        <f t="shared" si="11"/>
        <v>0.44007466198651496</v>
      </c>
    </row>
    <row r="81" spans="3:18">
      <c r="D81" s="2" t="s">
        <v>20</v>
      </c>
      <c r="E81" s="8">
        <f>F$16</f>
        <v>1677.6</v>
      </c>
      <c r="F81" s="15">
        <f>(1+_xlfn.XLOOKUP($D$71,$F$33:$H$33,$F$36:$H$36))^9</f>
        <v>1.045910579145064</v>
      </c>
      <c r="G81" s="15">
        <f>(1+_xlfn.XLOOKUP($D$71,$F$33:$H$33,$F$39:$H$39))^9</f>
        <v>1.4233118124214852</v>
      </c>
      <c r="H81" s="31">
        <v>1</v>
      </c>
      <c r="I81" s="8">
        <f>E81*F81*G81</f>
        <v>2497.3707852998464</v>
      </c>
      <c r="J81" s="15">
        <f>_xlfn.XLOOKUP($D$71,$F$33:$H$33,$F$42:$H$42)</f>
        <v>0.15</v>
      </c>
      <c r="K81" s="8">
        <f t="shared" si="7"/>
        <v>374.60561779497692</v>
      </c>
      <c r="L81" s="8">
        <f t="shared" si="9"/>
        <v>2871.9764030948231</v>
      </c>
      <c r="M81" s="15">
        <f>_xlfn.XLOOKUP($D$71,$F$33:$H$33,$F$48:$H$48)</f>
        <v>0.2</v>
      </c>
      <c r="N81" s="15">
        <f>_xlfn.XLOOKUP($D$71,$F$33:$H$33,$F$51:$H$51)</f>
        <v>0.3</v>
      </c>
      <c r="O81" s="8">
        <f t="shared" si="10"/>
        <v>611.8558423984623</v>
      </c>
      <c r="P81" s="4">
        <f t="shared" si="11"/>
        <v>0.61185584239846225</v>
      </c>
    </row>
    <row r="82" spans="3:18">
      <c r="D82" s="2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4"/>
    </row>
    <row r="83" spans="3:18">
      <c r="D83" s="5" t="s">
        <v>104</v>
      </c>
      <c r="E83" s="16">
        <f>SUM(E74:E81)</f>
        <v>2800.3199999999997</v>
      </c>
      <c r="F83" s="16"/>
      <c r="G83" s="16"/>
      <c r="H83" s="16"/>
      <c r="I83" s="16">
        <f>SUM(I74:I81)</f>
        <v>4942.0038483228855</v>
      </c>
      <c r="J83" s="16"/>
      <c r="K83" s="16">
        <f>SUM(K74:K81)</f>
        <v>839.0949465787694</v>
      </c>
      <c r="L83" s="16">
        <f>SUM(L74:L81)</f>
        <v>5781.0987949016544</v>
      </c>
      <c r="M83" s="16"/>
      <c r="N83" s="16"/>
      <c r="O83" s="16">
        <f>SUM(O74:O81)</f>
        <v>2633.2046318596249</v>
      </c>
      <c r="P83" s="16">
        <f>SUM(P74:P81)</f>
        <v>2.6332046318596247</v>
      </c>
    </row>
    <row r="84" spans="3:18">
      <c r="D84" s="36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</row>
    <row r="85" spans="3:18"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3:18" ht="16.2" customHeight="1">
      <c r="C86" s="3" t="s">
        <v>133</v>
      </c>
      <c r="D86" s="70" t="s">
        <v>32</v>
      </c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</row>
    <row r="87" spans="3:18" ht="16.2" customHeight="1"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</row>
    <row r="88" spans="3:18" ht="15.6" thickBot="1">
      <c r="D88" s="22" t="s">
        <v>5</v>
      </c>
      <c r="E88" s="22" t="s">
        <v>4</v>
      </c>
      <c r="F88" s="22" t="s">
        <v>120</v>
      </c>
      <c r="G88" s="22" t="s">
        <v>121</v>
      </c>
      <c r="H88" s="22" t="s">
        <v>122</v>
      </c>
      <c r="I88" s="22" t="s">
        <v>123</v>
      </c>
      <c r="J88" s="22" t="s">
        <v>124</v>
      </c>
      <c r="K88" s="22" t="s">
        <v>125</v>
      </c>
      <c r="L88" s="22" t="s">
        <v>126</v>
      </c>
      <c r="M88" s="22" t="s">
        <v>127</v>
      </c>
      <c r="N88" s="22" t="s">
        <v>128</v>
      </c>
      <c r="O88" s="22" t="s">
        <v>129</v>
      </c>
      <c r="P88" s="22" t="s">
        <v>130</v>
      </c>
    </row>
    <row r="89" spans="3:18">
      <c r="D89" s="2" t="s">
        <v>9</v>
      </c>
      <c r="E89" s="8">
        <f>F$9</f>
        <v>80</v>
      </c>
      <c r="F89" s="15">
        <f>(1+_xlfn.XLOOKUP($D$86,$F$33:$H$33,$F$34:$H$34))^9</f>
        <v>1.0936852726843611</v>
      </c>
      <c r="G89" s="15">
        <f>(1+_xlfn.XLOOKUP($D$86,$F$33:$H$33,$F$37:$H$37))^9</f>
        <v>1.6894789590026928</v>
      </c>
      <c r="H89" s="30">
        <f>('1_Inputs&amp;Hyp'!F59/'1_Inputs&amp;Hyp'!F57)*'1_Inputs&amp;Hyp'!F62</f>
        <v>11.67578125</v>
      </c>
      <c r="I89" s="8">
        <f>H$9*F89*G89+G$9*H89</f>
        <v>748.90254679250017</v>
      </c>
      <c r="J89" s="15">
        <f>_xlfn.XLOOKUP($D$86,$F$33:$H$33,$F$40:$H$40)</f>
        <v>0.3</v>
      </c>
      <c r="K89" s="8">
        <f t="shared" ref="K89:K96" si="13">I89*J89</f>
        <v>224.67076403775005</v>
      </c>
      <c r="L89" s="8">
        <f>I89+K89</f>
        <v>973.57331083025019</v>
      </c>
      <c r="M89" s="15">
        <f t="shared" ref="M89:M94" si="14">_xlfn.XLOOKUP($D$86,$F$33:$H$33,$F$46:$H$46)</f>
        <v>1</v>
      </c>
      <c r="N89" s="15">
        <f>_xlfn.XLOOKUP($D$86,$F$33:$H$33,$F$49:$H$49)</f>
        <v>1</v>
      </c>
      <c r="O89" s="8">
        <f>I89*M89+K89*N89</f>
        <v>973.57331083025019</v>
      </c>
      <c r="P89" s="4">
        <f>O89/1000</f>
        <v>0.97357331083025023</v>
      </c>
      <c r="R89" s="71">
        <f>O89</f>
        <v>973.57331083025019</v>
      </c>
    </row>
    <row r="90" spans="3:18">
      <c r="D90" s="2" t="s">
        <v>12</v>
      </c>
      <c r="E90" s="8">
        <f>F$10</f>
        <v>10</v>
      </c>
      <c r="F90" s="15">
        <f>(1+_xlfn.XLOOKUP($D$86,$F$33:$H$33,$F$34:$H$34))^9</f>
        <v>1.0936852726843611</v>
      </c>
      <c r="G90" s="15">
        <f>(1+_xlfn.XLOOKUP($D$86,$F$33:$H$33,$F$37:$H$37))^9</f>
        <v>1.6894789590026928</v>
      </c>
      <c r="H90" s="31">
        <v>1</v>
      </c>
      <c r="I90" s="8">
        <f>E90*F90*G90</f>
        <v>18.477582559713507</v>
      </c>
      <c r="J90" s="15">
        <f>_xlfn.XLOOKUP($D$86,$F$33:$H$33,$F$40:$H$40)</f>
        <v>0.3</v>
      </c>
      <c r="K90" s="8">
        <f t="shared" si="13"/>
        <v>5.5432747679140517</v>
      </c>
      <c r="L90" s="8">
        <f t="shared" ref="L90:L96" si="15">I90+K90</f>
        <v>24.02085732762756</v>
      </c>
      <c r="M90" s="15">
        <f t="shared" si="14"/>
        <v>1</v>
      </c>
      <c r="N90" s="15">
        <f>_xlfn.XLOOKUP($D$86,$F$33:$H$33,$F$49:$H$49)</f>
        <v>1</v>
      </c>
      <c r="O90" s="8">
        <f t="shared" ref="O90:O92" si="16">I90*M90+K90*N90</f>
        <v>24.02085732762756</v>
      </c>
      <c r="P90" s="4">
        <f t="shared" ref="P90:P96" si="17">O90/1000</f>
        <v>2.402085732762756E-2</v>
      </c>
      <c r="R90" s="72">
        <f>O90+O91+O92</f>
        <v>240.20857327627562</v>
      </c>
    </row>
    <row r="91" spans="3:18">
      <c r="D91" s="2" t="s">
        <v>13</v>
      </c>
      <c r="E91" s="8">
        <f>F$11</f>
        <v>10</v>
      </c>
      <c r="F91" s="15">
        <f>(1+_xlfn.XLOOKUP($D$86,$F$33:$H$33,$F$34:$H$34))^9</f>
        <v>1.0936852726843611</v>
      </c>
      <c r="G91" s="15">
        <f>(1+_xlfn.XLOOKUP($D$86,$F$33:$H$33,$F$37:$H$37))^9</f>
        <v>1.6894789590026928</v>
      </c>
      <c r="H91" s="31">
        <v>1</v>
      </c>
      <c r="I91" s="8">
        <f>E91*F91*G91</f>
        <v>18.477582559713507</v>
      </c>
      <c r="J91" s="15">
        <f>_xlfn.XLOOKUP($D$86,$F$33:$H$33,$F$40:$H$40)</f>
        <v>0.3</v>
      </c>
      <c r="K91" s="8">
        <f t="shared" si="13"/>
        <v>5.5432747679140517</v>
      </c>
      <c r="L91" s="8">
        <f t="shared" si="15"/>
        <v>24.02085732762756</v>
      </c>
      <c r="M91" s="15">
        <f t="shared" si="14"/>
        <v>1</v>
      </c>
      <c r="N91" s="15">
        <f>_xlfn.XLOOKUP($D$86,$F$33:$H$33,$F$49:$H$49)</f>
        <v>1</v>
      </c>
      <c r="O91" s="8">
        <f t="shared" si="16"/>
        <v>24.02085732762756</v>
      </c>
      <c r="P91" s="4">
        <f t="shared" si="17"/>
        <v>2.402085732762756E-2</v>
      </c>
      <c r="R91" s="71">
        <f>O93</f>
        <v>536.61715660799996</v>
      </c>
    </row>
    <row r="92" spans="3:18">
      <c r="D92" s="2" t="s">
        <v>14</v>
      </c>
      <c r="E92" s="8">
        <f>F$12</f>
        <v>80</v>
      </c>
      <c r="F92" s="15">
        <f>(1+_xlfn.XLOOKUP($D$86,$F$33:$H$33,$F$34:$H$34))^9</f>
        <v>1.0936852726843611</v>
      </c>
      <c r="G92" s="15">
        <f>(1+_xlfn.XLOOKUP($D$86,$F$33:$H$33,$F$37:$H$37))^9</f>
        <v>1.6894789590026928</v>
      </c>
      <c r="H92" s="31">
        <v>1</v>
      </c>
      <c r="I92" s="8">
        <f>E92*F92*G92</f>
        <v>147.82066047770806</v>
      </c>
      <c r="J92" s="15">
        <f>_xlfn.XLOOKUP($D$86,$F$33:$H$33,$F$40:$H$40)</f>
        <v>0.3</v>
      </c>
      <c r="K92" s="8">
        <f t="shared" si="13"/>
        <v>44.346198143312414</v>
      </c>
      <c r="L92" s="8">
        <f t="shared" si="15"/>
        <v>192.16685862102048</v>
      </c>
      <c r="M92" s="15">
        <f t="shared" si="14"/>
        <v>1</v>
      </c>
      <c r="N92" s="15">
        <f>_xlfn.XLOOKUP($D$86,$F$33:$H$33,$F$49:$H$49)</f>
        <v>1</v>
      </c>
      <c r="O92" s="8">
        <f t="shared" si="16"/>
        <v>192.16685862102048</v>
      </c>
      <c r="P92" s="4">
        <f t="shared" si="17"/>
        <v>0.19216685862102048</v>
      </c>
      <c r="R92" s="71">
        <f t="shared" ref="R92:R94" si="18">O94</f>
        <v>566.8922329320103</v>
      </c>
    </row>
    <row r="93" spans="3:18">
      <c r="D93" s="2" t="s">
        <v>15</v>
      </c>
      <c r="E93" s="8">
        <f>F$13</f>
        <v>80</v>
      </c>
      <c r="F93" s="38">
        <f>(1+_xlfn.XLOOKUP(D86,'1_Inputs&amp;Hyp'!$F$66:$H$66,'1_Inputs&amp;Hyp'!$F$67:$H$67))^9</f>
        <v>1.0936852726843611</v>
      </c>
      <c r="G93" s="38">
        <f>(1+_xlfn.XLOOKUP($D$86,$F$33:$H$33,$F$37:$H$37))^9</f>
        <v>1.6894789590026928</v>
      </c>
      <c r="H93" s="23">
        <f>(1+_xlfn.XLOOKUP(D86,'1_Inputs&amp;Hyp'!$F$66:$H$66,'1_Inputs&amp;Hyp'!$F$68:$H$68))^9</f>
        <v>5.1597803519999994</v>
      </c>
      <c r="I93" s="8">
        <f>H$13*F93*G93+G$13*H93</f>
        <v>412.78242815999994</v>
      </c>
      <c r="J93" s="15">
        <f>_xlfn.XLOOKUP($D$86,$F$33:$H$33,$F$40:$H$40)</f>
        <v>0.3</v>
      </c>
      <c r="K93" s="8">
        <f t="shared" si="13"/>
        <v>123.83472844799998</v>
      </c>
      <c r="L93" s="8">
        <f t="shared" si="15"/>
        <v>536.61715660799996</v>
      </c>
      <c r="M93" s="15">
        <f t="shared" si="14"/>
        <v>1</v>
      </c>
      <c r="N93" s="15">
        <f>_xlfn.XLOOKUP($D$86,$F$33:$H$33,$F$49:$H$49)</f>
        <v>1</v>
      </c>
      <c r="O93" s="8">
        <f>I93*M93+K93*N93</f>
        <v>536.61715660799996</v>
      </c>
      <c r="P93" s="4">
        <f>O93/1000</f>
        <v>0.53661715660799991</v>
      </c>
      <c r="R93" s="71">
        <f t="shared" si="18"/>
        <v>1014.9549868928383</v>
      </c>
    </row>
    <row r="94" spans="3:18">
      <c r="D94" s="2" t="s">
        <v>103</v>
      </c>
      <c r="E94" s="8">
        <f>F$14</f>
        <v>260</v>
      </c>
      <c r="F94" s="15">
        <f>(1+_xlfn.XLOOKUP($D$86,$F$33:$H$33,$F$36:$H$36))^9</f>
        <v>1.0936852726843611</v>
      </c>
      <c r="G94" s="15">
        <f>(1+_xlfn.XLOOKUP($D$86,$F$33:$H$33,$F$39:$H$39))^9</f>
        <v>1.6894789590026928</v>
      </c>
      <c r="H94" s="31">
        <v>1</v>
      </c>
      <c r="I94" s="8">
        <f>E94*F94*G94</f>
        <v>480.41714655255112</v>
      </c>
      <c r="J94" s="15">
        <f>_xlfn.XLOOKUP($D$86,$F$33:$H$33,$F$42:$H$42)</f>
        <v>0.3</v>
      </c>
      <c r="K94" s="8">
        <f t="shared" si="13"/>
        <v>144.12514396576532</v>
      </c>
      <c r="L94" s="8">
        <f t="shared" si="15"/>
        <v>624.54229051831646</v>
      </c>
      <c r="M94" s="15">
        <f t="shared" si="14"/>
        <v>1</v>
      </c>
      <c r="N94" s="15">
        <f>_xlfn.XLOOKUP($D$86,$F$33:$H$33,$F$51:$H$51)</f>
        <v>0.6</v>
      </c>
      <c r="O94" s="8">
        <f t="shared" ref="O94:O96" si="19">I94*M94+K94*N94</f>
        <v>566.8922329320103</v>
      </c>
      <c r="P94" s="4">
        <f t="shared" si="17"/>
        <v>0.5668922329320103</v>
      </c>
      <c r="R94" s="71">
        <f t="shared" si="18"/>
        <v>1642.8936026152946</v>
      </c>
    </row>
    <row r="95" spans="3:18">
      <c r="D95" s="2" t="s">
        <v>17</v>
      </c>
      <c r="E95" s="8">
        <f>F$15</f>
        <v>602.72</v>
      </c>
      <c r="F95" s="15">
        <f>(1+_xlfn.XLOOKUP($D$86,$F$33:$H$33,$F$35:$H$35))^9</f>
        <v>1.0936852726843611</v>
      </c>
      <c r="G95" s="15">
        <f>(1+_xlfn.XLOOKUP($D$86,$F$33:$H$33,$F$38:$H$38))^9</f>
        <v>1.8384592124201549</v>
      </c>
      <c r="H95" s="31">
        <v>1</v>
      </c>
      <c r="I95" s="8">
        <f>E95*F95*G95</f>
        <v>1211.8865515138368</v>
      </c>
      <c r="J95" s="15">
        <f>_xlfn.XLOOKUP($D$86,$F$33:$H$33,$F$41:$H$41)</f>
        <v>0.45</v>
      </c>
      <c r="K95" s="8">
        <f t="shared" si="13"/>
        <v>545.34894818122655</v>
      </c>
      <c r="L95" s="8">
        <f t="shared" si="15"/>
        <v>1757.2354996950635</v>
      </c>
      <c r="M95" s="15">
        <f>_xlfn.XLOOKUP($D$86,$F$33:$H$33,$F$47:$H$47)</f>
        <v>0.5</v>
      </c>
      <c r="N95" s="15">
        <f>_xlfn.XLOOKUP($D$86,$F$33:$H$33,$F$50:$H$50)</f>
        <v>0.75</v>
      </c>
      <c r="O95" s="8">
        <f>I95*M95+K95*N95</f>
        <v>1014.9549868928383</v>
      </c>
      <c r="P95" s="4">
        <f t="shared" si="17"/>
        <v>1.0149549868928383</v>
      </c>
    </row>
    <row r="96" spans="3:18">
      <c r="D96" s="2" t="s">
        <v>20</v>
      </c>
      <c r="E96" s="8">
        <f>F$16</f>
        <v>1677.6</v>
      </c>
      <c r="F96" s="15">
        <f>(1+_xlfn.XLOOKUP($D$86,$F$33:$H$33,$F$36:$H$36))^9</f>
        <v>1.0936852726843611</v>
      </c>
      <c r="G96" s="15">
        <f>(1+_xlfn.XLOOKUP($D$86,$F$33:$H$33,$F$39:$H$39))^9</f>
        <v>1.6894789590026928</v>
      </c>
      <c r="H96" s="31">
        <v>1</v>
      </c>
      <c r="I96" s="8">
        <f>E96*F96*G96</f>
        <v>3099.7992502175375</v>
      </c>
      <c r="J96" s="15">
        <f>_xlfn.XLOOKUP($D$86,$F$33:$H$33,$F$42:$H$42)</f>
        <v>0.3</v>
      </c>
      <c r="K96" s="8">
        <f t="shared" si="13"/>
        <v>929.93977506526119</v>
      </c>
      <c r="L96" s="8">
        <f t="shared" si="15"/>
        <v>4029.7390252827986</v>
      </c>
      <c r="M96" s="15">
        <f>_xlfn.XLOOKUP($D$86,$F$33:$H$33,$F$48:$H$48)</f>
        <v>0.35</v>
      </c>
      <c r="N96" s="15">
        <f>_xlfn.XLOOKUP($D$86,$F$33:$H$33,$F$51:$H$51)</f>
        <v>0.6</v>
      </c>
      <c r="O96" s="8">
        <f t="shared" si="19"/>
        <v>1642.8936026152946</v>
      </c>
      <c r="P96" s="4">
        <f t="shared" si="17"/>
        <v>1.6428936026152947</v>
      </c>
    </row>
    <row r="97" spans="4:16">
      <c r="D97" s="2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4"/>
    </row>
    <row r="98" spans="4:16">
      <c r="D98" s="5" t="s">
        <v>104</v>
      </c>
      <c r="E98" s="16">
        <f>SUM(E89:E96)</f>
        <v>2800.3199999999997</v>
      </c>
      <c r="F98" s="16"/>
      <c r="G98" s="16"/>
      <c r="H98" s="16"/>
      <c r="I98" s="16">
        <f>SUM(I89:I96)</f>
        <v>6138.5637488335606</v>
      </c>
      <c r="J98" s="16"/>
      <c r="K98" s="16">
        <f>SUM(K89:K96)</f>
        <v>2023.3521073771435</v>
      </c>
      <c r="L98" s="16">
        <f>SUM(L89:L96)</f>
        <v>8161.9158562107041</v>
      </c>
      <c r="M98" s="16"/>
      <c r="N98" s="16"/>
      <c r="O98" s="16">
        <f>SUM(O89:O96)</f>
        <v>4975.139863154669</v>
      </c>
      <c r="P98" s="16">
        <f>SUM(P89:P96)</f>
        <v>4.9751398631546691</v>
      </c>
    </row>
    <row r="99" spans="4:16"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4:16"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4:16"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4:16"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4:16"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4:16"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4:16"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4:16"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4:16"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4:16"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4:16"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4:16"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4:16"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4:16"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4:16"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4:16"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4:16"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4:16"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4:16"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4:16"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4:16"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4:16"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</sheetData>
  <mergeCells count="3">
    <mergeCell ref="D31:P31"/>
    <mergeCell ref="D6:P6"/>
    <mergeCell ref="D54:P54"/>
  </mergeCells>
  <pageMargins left="0.7" right="0.7" top="0.75" bottom="0.75" header="0.3" footer="0.3"/>
  <headerFooter>
    <oddHeader>&amp;L&amp;"Aptos"&amp;10&amp;K000000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96"/>
  <sheetViews>
    <sheetView tabSelected="1" zoomScale="85" zoomScaleNormal="85" workbookViewId="0">
      <selection activeCell="G28" sqref="G28"/>
    </sheetView>
  </sheetViews>
  <sheetFormatPr defaultColWidth="8.69921875" defaultRowHeight="15"/>
  <cols>
    <col min="1" max="1" width="8.69921875" style="1"/>
    <col min="2" max="2" width="40" style="1" bestFit="1" customWidth="1"/>
    <col min="3" max="5" width="16" style="1" customWidth="1"/>
    <col min="6" max="6" width="4" style="1" customWidth="1"/>
    <col min="7" max="14" width="14" style="1" customWidth="1"/>
    <col min="15" max="16384" width="8.69921875" style="1"/>
  </cols>
  <sheetData>
    <row r="1" spans="2:14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4" ht="22.35" customHeight="1">
      <c r="B2" s="68" t="s">
        <v>134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</row>
    <row r="3" spans="2:14">
      <c r="B3" s="69" t="s">
        <v>135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</row>
    <row r="4" spans="2:14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2:14" ht="16.2" customHeight="1">
      <c r="B5" s="3" t="s">
        <v>136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2:14" ht="16.2" customHeight="1"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</row>
    <row r="7" spans="2:14" ht="15.6" thickBot="1">
      <c r="B7" s="22" t="s">
        <v>137</v>
      </c>
      <c r="C7" s="22" t="s">
        <v>138</v>
      </c>
      <c r="D7" s="22" t="s">
        <v>139</v>
      </c>
      <c r="E7" s="22" t="s">
        <v>140</v>
      </c>
      <c r="F7" s="2"/>
      <c r="G7" s="2"/>
      <c r="H7" s="2"/>
      <c r="I7" s="2"/>
      <c r="J7" s="2"/>
      <c r="K7" s="2"/>
      <c r="L7" s="2"/>
      <c r="M7" s="2"/>
      <c r="N7" s="2"/>
    </row>
    <row r="8" spans="2:14">
      <c r="B8" s="2" t="s">
        <v>141</v>
      </c>
      <c r="C8" s="4">
        <f>'2_Calculs'!$F$17/10^3</f>
        <v>2.8003199999999997</v>
      </c>
      <c r="D8" s="4">
        <f>'2_Calculs'!$F$17/10^3</f>
        <v>2.8003199999999997</v>
      </c>
      <c r="E8" s="4">
        <f>'2_Calculs'!$F$17/10^3</f>
        <v>2.8003199999999997</v>
      </c>
      <c r="F8" s="2"/>
      <c r="G8" s="2"/>
      <c r="H8" s="2"/>
      <c r="I8" s="2"/>
      <c r="J8" s="2"/>
      <c r="K8" s="2"/>
      <c r="L8" s="2"/>
      <c r="M8" s="2"/>
      <c r="N8" s="2"/>
    </row>
    <row r="9" spans="2:14">
      <c r="B9" s="2" t="s">
        <v>142</v>
      </c>
      <c r="C9" s="4">
        <f>'2_Calculs'!L68/10^3</f>
        <v>4.3256790430565619</v>
      </c>
      <c r="D9" s="4">
        <f>'2_Calculs'!L83/10^3</f>
        <v>5.7810987949016548</v>
      </c>
      <c r="E9" s="4">
        <f>'2_Calculs'!L98/10^3</f>
        <v>8.1619158562107046</v>
      </c>
      <c r="F9" s="2"/>
      <c r="G9" s="2"/>
      <c r="H9" s="2"/>
      <c r="I9" s="2"/>
      <c r="J9" s="2"/>
      <c r="K9" s="2"/>
      <c r="L9" s="2"/>
      <c r="M9" s="2"/>
      <c r="N9" s="2"/>
    </row>
    <row r="10" spans="2:14" ht="15.6" thickBot="1">
      <c r="B10" s="24" t="s">
        <v>143</v>
      </c>
      <c r="C10" s="35">
        <f>'2_Calculs'!P68</f>
        <v>1.6843442384062171</v>
      </c>
      <c r="D10" s="35">
        <f>'2_Calculs'!P83</f>
        <v>2.6332046318596247</v>
      </c>
      <c r="E10" s="35">
        <f>'2_Calculs'!P98</f>
        <v>4.9751398631546691</v>
      </c>
      <c r="F10" s="2"/>
      <c r="G10" s="2"/>
      <c r="H10" s="2"/>
      <c r="I10" s="2"/>
      <c r="J10" s="2"/>
      <c r="K10" s="2"/>
      <c r="L10" s="2"/>
      <c r="M10" s="2"/>
      <c r="N10" s="2"/>
    </row>
    <row r="11" spans="2:14" ht="15.6" thickTop="1">
      <c r="B11" s="2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</row>
    <row r="12" spans="2:14">
      <c r="B12" s="32" t="s">
        <v>144</v>
      </c>
      <c r="C12" s="34">
        <f>C10/C9</f>
        <v>0.38938261984782974</v>
      </c>
      <c r="D12" s="34">
        <f t="shared" ref="D12:E12" si="0">D10/D9</f>
        <v>0.45548514655757921</v>
      </c>
      <c r="E12" s="34">
        <f t="shared" si="0"/>
        <v>0.6095553973849045</v>
      </c>
      <c r="F12" s="2"/>
      <c r="G12" s="2"/>
      <c r="H12" s="2"/>
      <c r="I12" s="2"/>
      <c r="J12" s="2"/>
      <c r="K12" s="2"/>
      <c r="L12" s="2"/>
      <c r="M12" s="2"/>
      <c r="N12" s="2"/>
    </row>
    <row r="13" spans="2:14">
      <c r="B13" s="32" t="s">
        <v>145</v>
      </c>
      <c r="C13" s="33">
        <f>C9/C8</f>
        <v>1.5447088343677018</v>
      </c>
      <c r="D13" s="33">
        <f t="shared" ref="D13:E13" si="1">D9/D8</f>
        <v>2.06444220478433</v>
      </c>
      <c r="E13" s="33">
        <f t="shared" si="1"/>
        <v>2.9146368472927042</v>
      </c>
      <c r="F13" s="2"/>
      <c r="G13" s="2"/>
      <c r="H13" s="2"/>
      <c r="I13" s="2"/>
      <c r="J13" s="2"/>
      <c r="K13" s="2"/>
      <c r="L13" s="2"/>
      <c r="M13" s="2"/>
      <c r="N13" s="2"/>
    </row>
    <row r="14" spans="2:14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2:14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2:14" ht="16.2" customHeight="1">
      <c r="B16" s="74" t="s">
        <v>146</v>
      </c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</row>
    <row r="17" spans="2:14" ht="16.2" customHeight="1"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</row>
    <row r="18" spans="2:14" ht="15.6" thickBot="1">
      <c r="B18" s="22" t="s">
        <v>5</v>
      </c>
      <c r="C18" s="22" t="s">
        <v>138</v>
      </c>
      <c r="D18" s="22" t="s">
        <v>139</v>
      </c>
      <c r="E18" s="22" t="s">
        <v>140</v>
      </c>
      <c r="F18" s="2"/>
      <c r="G18" s="2"/>
      <c r="H18" s="2"/>
      <c r="I18" s="2"/>
      <c r="J18" s="2"/>
      <c r="K18" s="2"/>
      <c r="L18" s="2"/>
      <c r="M18" s="2"/>
      <c r="N18" s="2"/>
    </row>
    <row r="19" spans="2:14">
      <c r="B19" s="2" t="s">
        <v>9</v>
      </c>
      <c r="C19" s="4">
        <f>'2_Calculs'!P59</f>
        <v>0.74581390430837979</v>
      </c>
      <c r="D19" s="4">
        <f>'2_Calculs'!P74</f>
        <v>0.80892941382919248</v>
      </c>
      <c r="E19" s="4">
        <f>'2_Calculs'!P89</f>
        <v>0.97357331083025023</v>
      </c>
      <c r="F19" s="2"/>
      <c r="G19" s="2"/>
      <c r="H19" s="2"/>
      <c r="I19" s="2"/>
      <c r="J19" s="2"/>
      <c r="K19" s="2"/>
      <c r="L19" s="2"/>
      <c r="M19" s="2"/>
      <c r="N19" s="2"/>
    </row>
    <row r="20" spans="2:14">
      <c r="B20" s="2" t="s">
        <v>147</v>
      </c>
      <c r="C20" s="4">
        <f>'2_Calculs'!P60+'2_Calculs'!P61+'2_Calculs'!P62</f>
        <v>0.12100312257300898</v>
      </c>
      <c r="D20" s="4">
        <f>'2_Calculs'!P75+'2_Calculs'!P76+'2_Calculs'!P77</f>
        <v>0.16226360014168051</v>
      </c>
      <c r="E20" s="4">
        <f>'2_Calculs'!P90+'2_Calculs'!P91+'2_Calculs'!P92</f>
        <v>0.24020857327627559</v>
      </c>
      <c r="F20" s="2"/>
      <c r="G20" s="2"/>
      <c r="H20" s="2"/>
      <c r="I20" s="2"/>
      <c r="J20" s="2"/>
      <c r="K20" s="2"/>
      <c r="L20" s="2"/>
      <c r="M20" s="2"/>
      <c r="N20" s="2"/>
    </row>
    <row r="21" spans="2:14">
      <c r="B21" s="2" t="s">
        <v>15</v>
      </c>
      <c r="C21" s="4">
        <f>'2_Calculs'!P63</f>
        <v>0.12565758549425979</v>
      </c>
      <c r="D21" s="4">
        <f>'2_Calculs'!P78</f>
        <v>0.20561303865520011</v>
      </c>
      <c r="E21" s="4">
        <f>'2_Calculs'!P93</f>
        <v>0.53661715660799991</v>
      </c>
      <c r="F21" s="2"/>
      <c r="G21" s="2"/>
      <c r="H21" s="2"/>
      <c r="I21" s="2"/>
      <c r="J21" s="2"/>
      <c r="K21" s="2"/>
      <c r="L21" s="2"/>
      <c r="M21" s="2"/>
      <c r="N21" s="2"/>
    </row>
    <row r="22" spans="2:14">
      <c r="B22" s="2" t="s">
        <v>103</v>
      </c>
      <c r="C22" s="4">
        <f>'2_Calculs'!P64</f>
        <v>0.31227768818100982</v>
      </c>
      <c r="D22" s="4">
        <f>'2_Calculs'!P79</f>
        <v>0.40446807484857428</v>
      </c>
      <c r="E22" s="4">
        <f>'2_Calculs'!P94</f>
        <v>0.5668922329320103</v>
      </c>
      <c r="F22" s="2"/>
      <c r="G22" s="2"/>
      <c r="H22" s="2"/>
      <c r="I22" s="2"/>
      <c r="J22" s="2"/>
      <c r="K22" s="2"/>
      <c r="L22" s="2"/>
      <c r="M22" s="2"/>
      <c r="N22" s="2"/>
    </row>
    <row r="23" spans="2:14">
      <c r="B23" s="2" t="s">
        <v>17</v>
      </c>
      <c r="C23" s="4">
        <f>'2_Calculs'!P65</f>
        <v>0.16907877207187588</v>
      </c>
      <c r="D23" s="4">
        <f>'2_Calculs'!P80</f>
        <v>0.44007466198651496</v>
      </c>
      <c r="E23" s="4">
        <f>'2_Calculs'!P95</f>
        <v>1.0149549868928383</v>
      </c>
      <c r="F23" s="2"/>
      <c r="G23" s="2"/>
      <c r="H23" s="2"/>
      <c r="I23" s="2"/>
      <c r="J23" s="2"/>
      <c r="K23" s="2"/>
      <c r="L23" s="2"/>
      <c r="M23" s="2"/>
      <c r="N23" s="2"/>
    </row>
    <row r="24" spans="2:14">
      <c r="B24" s="2" t="s">
        <v>20</v>
      </c>
      <c r="C24" s="4">
        <f>'2_Calculs'!P66</f>
        <v>0.21051316577768281</v>
      </c>
      <c r="D24" s="4">
        <f>'2_Calculs'!P81</f>
        <v>0.61185584239846225</v>
      </c>
      <c r="E24" s="4">
        <f>'2_Calculs'!P96</f>
        <v>1.6428936026152947</v>
      </c>
      <c r="F24" s="2"/>
      <c r="G24" s="2"/>
      <c r="H24" s="2"/>
      <c r="I24" s="2"/>
      <c r="J24" s="2"/>
      <c r="K24" s="2"/>
      <c r="L24" s="2"/>
      <c r="M24" s="2"/>
      <c r="N24" s="2"/>
    </row>
    <row r="25" spans="2:14">
      <c r="B25" s="5" t="s">
        <v>104</v>
      </c>
      <c r="C25" s="6">
        <f>SUM(C19:C24)</f>
        <v>1.6843442384062171</v>
      </c>
      <c r="D25" s="6">
        <f>SUM(D19:D24)</f>
        <v>2.6332046318596247</v>
      </c>
      <c r="E25" s="6">
        <f>SUM(E19:E24)</f>
        <v>4.9751398631546691</v>
      </c>
      <c r="F25" s="2"/>
      <c r="G25" s="2"/>
      <c r="H25" s="2"/>
      <c r="I25" s="2"/>
      <c r="J25" s="2"/>
      <c r="K25" s="2"/>
      <c r="L25" s="2"/>
      <c r="M25" s="2"/>
      <c r="N25" s="2"/>
    </row>
    <row r="26" spans="2:14">
      <c r="B26" s="39" t="s">
        <v>148</v>
      </c>
      <c r="C26" s="39" t="b">
        <f>C25=C10</f>
        <v>1</v>
      </c>
      <c r="D26" s="39" t="b">
        <f t="shared" ref="D26:E26" si="2">D25=D10</f>
        <v>1</v>
      </c>
      <c r="E26" s="39" t="b">
        <f t="shared" si="2"/>
        <v>1</v>
      </c>
      <c r="F26" s="2"/>
      <c r="G26" s="2"/>
      <c r="H26" s="2"/>
      <c r="I26" s="2"/>
      <c r="J26" s="2"/>
      <c r="K26" s="2"/>
      <c r="L26" s="2"/>
      <c r="M26" s="2"/>
      <c r="N26" s="2"/>
    </row>
    <row r="27" spans="2:14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2:14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2:14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2:14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2:14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2:14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2:14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2:14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2:14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2:14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2:14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2:14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2:14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2:14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2:14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2:14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2:14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2:14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2:14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2:14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2:14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2:14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2:14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2:14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2:14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2:14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2:14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2:14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2:14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2:14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2:14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2:14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2:14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2:14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2:14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2:14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2:14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2:14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2:14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2:14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2:14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2:14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2:14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2:14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2:14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2:14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2:14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2:14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2:14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2:14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2:14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2:14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2:14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2:14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2:14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2:14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2:14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2:14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2:14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2:14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2:14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2:14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2:14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2:14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2:14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2:14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2:14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2:14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2:14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2:14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</sheetData>
  <mergeCells count="1">
    <mergeCell ref="B16:N16"/>
  </mergeCells>
  <pageMargins left="0.7" right="0.7" top="0.75" bottom="0.75" header="0.3" footer="0.3"/>
  <headerFooter>
    <oddHeader>&amp;L&amp;"Aptos"&amp;10&amp;K000000 INTERNAL&amp;1#_x000D_</oddHead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7A066FCD1E3F438488297A6C42CAF9" ma:contentTypeVersion="4" ma:contentTypeDescription="Crée un document." ma:contentTypeScope="" ma:versionID="18f0f9b597039d9e780f83a3fa476528">
  <xsd:schema xmlns:xsd="http://www.w3.org/2001/XMLSchema" xmlns:xs="http://www.w3.org/2001/XMLSchema" xmlns:p="http://schemas.microsoft.com/office/2006/metadata/properties" xmlns:ns2="c8e751d2-3d37-4167-80fa-a7ac4017bdce" targetNamespace="http://schemas.microsoft.com/office/2006/metadata/properties" ma:root="true" ma:fieldsID="a27a98dd884412d2ea335885e9b91a1f" ns2:_="">
    <xsd:import namespace="c8e751d2-3d37-4167-80fa-a7ac4017bd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TranslatedLan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e751d2-3d37-4167-80fa-a7ac4017bd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ranslatedLang" ma:index="11" nillable="true" ma:displayName="Translated Language" ma:internalName="TranslatedLang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ranslatedLang xmlns="c8e751d2-3d37-4167-80fa-a7ac4017bdce" xsi:nil="true"/>
  </documentManagement>
</p:properties>
</file>

<file path=customXml/itemProps1.xml><?xml version="1.0" encoding="utf-8"?>
<ds:datastoreItem xmlns:ds="http://schemas.openxmlformats.org/officeDocument/2006/customXml" ds:itemID="{A7245038-B243-488C-BE74-9359FD82AB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e751d2-3d37-4167-80fa-a7ac4017bd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5EFFB68-C21E-4BD7-B2CB-20E039E408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44C341-AD09-48CF-A9D3-1481B5BEA8A2}">
  <ds:schemaRefs>
    <ds:schemaRef ds:uri="http://schemas.microsoft.com/office/2006/metadata/properties"/>
    <ds:schemaRef ds:uri="http://schemas.microsoft.com/office/infopath/2007/PartnerControls"/>
    <ds:schemaRef ds:uri="c8e751d2-3d37-4167-80fa-a7ac4017bd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1_Inputs&amp;Hyp</vt:lpstr>
      <vt:lpstr>2_Calculs</vt:lpstr>
      <vt:lpstr>3_Output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Leveilley, Victoire</dc:creator>
  <cp:keywords/>
  <dc:description/>
  <cp:lastModifiedBy>Thivard, Theo</cp:lastModifiedBy>
  <cp:revision/>
  <dcterms:created xsi:type="dcterms:W3CDTF">2026-09-29T11:24:40Z</dcterms:created>
  <dcterms:modified xsi:type="dcterms:W3CDTF">2026-10-05T07:35:56Z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52f35fa-8165-4243-b308-eaa898c7c3bd_Enabled">
    <vt:lpwstr>true</vt:lpwstr>
  </property>
  <property fmtid="{D5CDD505-2E9C-101B-9397-08002B2CF9AE}" pid="3" name="MSIP_Label_252f35fa-8165-4243-b308-eaa898c7c3bd_SetDate">
    <vt:lpwstr>2026-09-29T11:24:40Z</vt:lpwstr>
  </property>
  <property fmtid="{D5CDD505-2E9C-101B-9397-08002B2CF9AE}" pid="4" name="MSIP_Label_252f35fa-8165-4243-b308-eaa898c7c3bd_Method">
    <vt:lpwstr>Privileged</vt:lpwstr>
  </property>
  <property fmtid="{D5CDD505-2E9C-101B-9397-08002B2CF9AE}" pid="5" name="MSIP_Label_252f35fa-8165-4243-b308-eaa898c7c3bd_Name">
    <vt:lpwstr>Internal</vt:lpwstr>
  </property>
  <property fmtid="{D5CDD505-2E9C-101B-9397-08002B2CF9AE}" pid="6" name="MSIP_Label_252f35fa-8165-4243-b308-eaa898c7c3bd_SiteId">
    <vt:lpwstr>720ebb82-481f-4a53-b7ca-9a6c71a0e24b</vt:lpwstr>
  </property>
  <property fmtid="{D5CDD505-2E9C-101B-9397-08002B2CF9AE}" pid="7" name="MSIP_Label_252f35fa-8165-4243-b308-eaa898c7c3bd_ActionId">
    <vt:lpwstr>c8bd5b02-2ace-4df9-b63a-12afeee6b4a7</vt:lpwstr>
  </property>
  <property fmtid="{D5CDD505-2E9C-101B-9397-08002B2CF9AE}" pid="8" name="MSIP_Label_252f35fa-8165-4243-b308-eaa898c7c3bd_ContentBits">
    <vt:lpwstr>1</vt:lpwstr>
  </property>
  <property fmtid="{D5CDD505-2E9C-101B-9397-08002B2CF9AE}" pid="9" name="MSIP_Label_252f35fa-8165-4243-b308-eaa898c7c3bd_Tag">
    <vt:lpwstr>10, 0, 1, 1</vt:lpwstr>
  </property>
  <property fmtid="{D5CDD505-2E9C-101B-9397-08002B2CF9AE}" pid="10" name="ContentTypeId">
    <vt:lpwstr>0x010100E67A066FCD1E3F438488297A6C42CAF9</vt:lpwstr>
  </property>
</Properties>
</file>