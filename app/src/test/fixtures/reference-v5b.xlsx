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Dashboard/"/>
    </mc:Choice>
  </mc:AlternateContent>
  <xr:revisionPtr revIDLastSave="0" documentId="8_{D7FDA7A5-9705-4A18-912D-8E5C4F979A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5" r:id="rId1"/>
    <sheet name="0_Sliding" sheetId="6" r:id="rId2"/>
    <sheet name="1_Inputs&amp;Hyp" sheetId="2" r:id="rId3"/>
    <sheet name="2_Calculs" sheetId="3" r:id="rId4"/>
    <sheet name="3_Output" sheetId="4" r:id="rId5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thinkcellK2GAAAAAAAAAAAAAAAAFNM5VLAYVLZSDRKO6M5KSWCTLI" localSheetId="1" hidden="1">'0_Sliding'!$D$36:$E$42</definedName>
    <definedName name="___thinkcellK2GAAAAAAAAAAAAAAAAGF6KCZBM7ZK2PWNNNL6AUTYPUG" localSheetId="1" hidden="1">'0_Sliding'!$D$59:$E$63</definedName>
    <definedName name="___thinkcellK2GAAAAAAAAAAAAAAAALG4I7ZPRSP52DRWR2D7KPSJGHA" localSheetId="1" hidden="1">'0_Sliding'!$J$71:$N$80</definedName>
    <definedName name="___thinkcellK2GAAAAAAAAAAAAAAAAMEFSPOV7E5Y2FWJBRMTI3KUCXM" localSheetId="1" hidden="1">'0_Sliding'!$D$71:$H$80</definedName>
    <definedName name="___thinkcellK2GAAAAAAAAAAAAAAAANBEMZIEMDQI2PWT53DRYSG5CDG" localSheetId="1" hidden="1">'0_Sliding'!$D$28:$N$32</definedName>
    <definedName name="___thinkcellK2GAAAAAAAAAAAAAAAAORY7T7IZQ7ASITRM2UKBX6D3YW" localSheetId="1" hidden="1">'0_Sliding'!$D$50:$N$54</definedName>
    <definedName name="___thinkcellKSGAAAAAAAAAAAAAAAACLFCWLSHAB2KOQMNYM3DABDL2C" localSheetId="1" hidden="1">'0_Sliding'!$D$18:$H$21</definedName>
    <definedName name="___thinkcellKSGAAAAAAAAAAAAAAAAFDDNV55SC3TCIQEZ4QP7FXIRG4" localSheetId="1" hidden="1">'0_Sliding'!$D$8:$N$12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6" l="1"/>
  <c r="K80" i="6"/>
  <c r="K79" i="6"/>
  <c r="K77" i="6"/>
  <c r="K76" i="6"/>
  <c r="K75" i="6"/>
  <c r="K74" i="6"/>
  <c r="K73" i="6"/>
  <c r="E74" i="6"/>
  <c r="E75" i="6"/>
  <c r="E76" i="6"/>
  <c r="E77" i="6"/>
  <c r="E78" i="6"/>
  <c r="E79" i="6"/>
  <c r="E80" i="6"/>
  <c r="E73" i="6"/>
  <c r="E52" i="6"/>
  <c r="E53" i="6"/>
  <c r="E54" i="6"/>
  <c r="E31" i="6"/>
  <c r="E32" i="6"/>
  <c r="E30" i="6"/>
  <c r="S47" i="6"/>
  <c r="R48" i="6" s="1"/>
  <c r="E21" i="6"/>
  <c r="E20" i="6"/>
  <c r="F8" i="6"/>
  <c r="G8" i="6" s="1"/>
  <c r="H8" i="6" s="1"/>
  <c r="I8" i="6" s="1"/>
  <c r="J8" i="6" s="1"/>
  <c r="K8" i="6" s="1"/>
  <c r="L8" i="6" s="1"/>
  <c r="M8" i="6" s="1"/>
  <c r="N8" i="6" s="1"/>
  <c r="F15" i="3"/>
  <c r="K48" i="2"/>
  <c r="G16" i="3"/>
  <c r="G14" i="3"/>
  <c r="G13" i="3"/>
  <c r="G12" i="3"/>
  <c r="G10" i="3"/>
  <c r="H91" i="3"/>
  <c r="H76" i="3"/>
  <c r="H61" i="3"/>
  <c r="H63" i="3"/>
  <c r="H93" i="3" l="1"/>
  <c r="F63" i="3"/>
  <c r="H78" i="3"/>
  <c r="F93" i="3"/>
  <c r="F78" i="3"/>
  <c r="F66" i="3"/>
  <c r="F62" i="3"/>
  <c r="F14" i="2"/>
  <c r="F14" i="3" s="1"/>
  <c r="E94" i="3" s="1"/>
  <c r="F21" i="3"/>
  <c r="G45" i="3"/>
  <c r="F45" i="3"/>
  <c r="G21" i="3" s="1"/>
  <c r="H45" i="3"/>
  <c r="F9" i="3"/>
  <c r="E89" i="3" s="1"/>
  <c r="G34" i="3"/>
  <c r="F76" i="3" s="1"/>
  <c r="H34" i="3"/>
  <c r="F92" i="3" s="1"/>
  <c r="G35" i="3"/>
  <c r="F80" i="3" s="1"/>
  <c r="H35" i="3"/>
  <c r="F95" i="3" s="1"/>
  <c r="G36" i="3"/>
  <c r="F81" i="3" s="1"/>
  <c r="H36" i="3"/>
  <c r="F96" i="3" s="1"/>
  <c r="G37" i="3"/>
  <c r="G77" i="3" s="1"/>
  <c r="H37" i="3"/>
  <c r="G91" i="3" s="1"/>
  <c r="G38" i="3"/>
  <c r="G80" i="3" s="1"/>
  <c r="H38" i="3"/>
  <c r="G95" i="3" s="1"/>
  <c r="G39" i="3"/>
  <c r="H39" i="3"/>
  <c r="G96" i="3" s="1"/>
  <c r="G40" i="3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65" i="3" s="1"/>
  <c r="F36" i="3"/>
  <c r="F64" i="3" s="1"/>
  <c r="F37" i="3"/>
  <c r="F38" i="3"/>
  <c r="G65" i="3" s="1"/>
  <c r="F39" i="3"/>
  <c r="G64" i="3" s="1"/>
  <c r="F40" i="3"/>
  <c r="F41" i="3"/>
  <c r="J65" i="3" s="1"/>
  <c r="F42" i="3"/>
  <c r="J64" i="3" s="1"/>
  <c r="F43" i="3"/>
  <c r="G27" i="3" s="1"/>
  <c r="F44" i="3"/>
  <c r="F16" i="3" s="1"/>
  <c r="E66" i="3" s="1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59" i="3" s="1"/>
  <c r="F28" i="3"/>
  <c r="F27" i="3"/>
  <c r="F13" i="3"/>
  <c r="F12" i="3"/>
  <c r="H12" i="3" s="1"/>
  <c r="F11" i="3"/>
  <c r="F10" i="3"/>
  <c r="H10" i="3" s="1"/>
  <c r="F59" i="2"/>
  <c r="H59" i="3" s="1"/>
  <c r="F74" i="3" l="1"/>
  <c r="J78" i="3"/>
  <c r="J76" i="3"/>
  <c r="F89" i="3"/>
  <c r="F90" i="3"/>
  <c r="F91" i="3"/>
  <c r="F60" i="3"/>
  <c r="F61" i="3"/>
  <c r="F94" i="3"/>
  <c r="F75" i="3"/>
  <c r="F79" i="3"/>
  <c r="G62" i="3"/>
  <c r="I62" i="3" s="1"/>
  <c r="G61" i="3"/>
  <c r="F77" i="3"/>
  <c r="I77" i="3" s="1"/>
  <c r="E61" i="3"/>
  <c r="J63" i="3"/>
  <c r="J61" i="3"/>
  <c r="G78" i="3"/>
  <c r="I78" i="3" s="1"/>
  <c r="G76" i="3"/>
  <c r="H74" i="3"/>
  <c r="E79" i="3"/>
  <c r="J94" i="3"/>
  <c r="J62" i="3"/>
  <c r="H89" i="3"/>
  <c r="N90" i="3"/>
  <c r="E81" i="3"/>
  <c r="G75" i="3"/>
  <c r="N89" i="3"/>
  <c r="G92" i="3"/>
  <c r="I92" i="3" s="1"/>
  <c r="N91" i="3"/>
  <c r="J60" i="3"/>
  <c r="G93" i="3"/>
  <c r="I93" i="3" s="1"/>
  <c r="J66" i="3"/>
  <c r="M61" i="3"/>
  <c r="E64" i="3"/>
  <c r="N76" i="3"/>
  <c r="J89" i="3"/>
  <c r="E77" i="3"/>
  <c r="E96" i="3"/>
  <c r="J90" i="3"/>
  <c r="E78" i="3"/>
  <c r="J93" i="3"/>
  <c r="G94" i="3"/>
  <c r="M79" i="3"/>
  <c r="N92" i="3"/>
  <c r="N74" i="3"/>
  <c r="M89" i="3"/>
  <c r="M62" i="3"/>
  <c r="G74" i="3"/>
  <c r="N75" i="3"/>
  <c r="M90" i="3"/>
  <c r="N94" i="3"/>
  <c r="M92" i="3"/>
  <c r="M91" i="3"/>
  <c r="M60" i="3"/>
  <c r="N78" i="3"/>
  <c r="J59" i="3"/>
  <c r="G90" i="3"/>
  <c r="I90" i="3" s="1"/>
  <c r="J91" i="3"/>
  <c r="M94" i="3"/>
  <c r="G59" i="3"/>
  <c r="G89" i="3"/>
  <c r="E59" i="3"/>
  <c r="J79" i="3"/>
  <c r="E60" i="3"/>
  <c r="J81" i="3"/>
  <c r="G60" i="3"/>
  <c r="N59" i="3"/>
  <c r="E63" i="3"/>
  <c r="E92" i="3"/>
  <c r="G66" i="3"/>
  <c r="J74" i="3"/>
  <c r="M74" i="3"/>
  <c r="N61" i="3"/>
  <c r="G81" i="3"/>
  <c r="M75" i="3"/>
  <c r="N79" i="3"/>
  <c r="M59" i="3"/>
  <c r="N60" i="3"/>
  <c r="E74" i="3"/>
  <c r="M64" i="3"/>
  <c r="N66" i="3"/>
  <c r="E75" i="3"/>
  <c r="J77" i="3"/>
  <c r="M77" i="3"/>
  <c r="N81" i="3"/>
  <c r="G63" i="3"/>
  <c r="I63" i="3" s="1"/>
  <c r="M81" i="3"/>
  <c r="E62" i="3"/>
  <c r="E90" i="3"/>
  <c r="N63" i="3"/>
  <c r="G79" i="3"/>
  <c r="J75" i="3"/>
  <c r="M76" i="3"/>
  <c r="E76" i="3"/>
  <c r="E91" i="3"/>
  <c r="E93" i="3"/>
  <c r="H9" i="3"/>
  <c r="H14" i="3"/>
  <c r="G28" i="3"/>
  <c r="H16" i="3"/>
  <c r="K78" i="3" l="1"/>
  <c r="L78" i="3" s="1"/>
  <c r="G77" i="6" s="1"/>
  <c r="M75" i="6" s="1"/>
  <c r="I75" i="3"/>
  <c r="K75" i="3" s="1"/>
  <c r="O75" i="3" s="1"/>
  <c r="P75" i="3" s="1"/>
  <c r="D20" i="4" s="1"/>
  <c r="I60" i="3"/>
  <c r="K60" i="3" s="1"/>
  <c r="L60" i="3" s="1"/>
  <c r="F74" i="6" s="1"/>
  <c r="L80" i="6" s="1"/>
  <c r="I96" i="3"/>
  <c r="K96" i="3" s="1"/>
  <c r="L96" i="3" s="1"/>
  <c r="I66" i="3"/>
  <c r="I81" i="3"/>
  <c r="K81" i="3" s="1"/>
  <c r="O81" i="3" s="1"/>
  <c r="I94" i="3"/>
  <c r="K94" i="3" s="1"/>
  <c r="I64" i="3"/>
  <c r="K64" i="3" s="1"/>
  <c r="I79" i="3"/>
  <c r="K79" i="3" s="1"/>
  <c r="O79" i="3" s="1"/>
  <c r="G9" i="3"/>
  <c r="I74" i="3" s="1"/>
  <c r="K77" i="3"/>
  <c r="O77" i="3" s="1"/>
  <c r="K93" i="3"/>
  <c r="O93" i="3" s="1"/>
  <c r="K90" i="3"/>
  <c r="O90" i="3" s="1"/>
  <c r="K92" i="3"/>
  <c r="O92" i="3" s="1"/>
  <c r="P92" i="3" s="1"/>
  <c r="E22" i="4" s="1"/>
  <c r="F17" i="3"/>
  <c r="E95" i="3"/>
  <c r="E65" i="3"/>
  <c r="E80" i="3"/>
  <c r="H15" i="3"/>
  <c r="G15" i="3" s="1"/>
  <c r="K66" i="3"/>
  <c r="O66" i="3" s="1"/>
  <c r="E62" i="6" l="1"/>
  <c r="H80" i="6"/>
  <c r="N73" i="6" s="1"/>
  <c r="O78" i="3"/>
  <c r="R76" i="3" s="1"/>
  <c r="I95" i="3"/>
  <c r="K95" i="3" s="1"/>
  <c r="L95" i="3" s="1"/>
  <c r="I80" i="3"/>
  <c r="K80" i="3" s="1"/>
  <c r="O80" i="3" s="1"/>
  <c r="I65" i="3"/>
  <c r="K65" i="3" s="1"/>
  <c r="O65" i="3" s="1"/>
  <c r="I59" i="3"/>
  <c r="K59" i="3" s="1"/>
  <c r="I89" i="3"/>
  <c r="K89" i="3" s="1"/>
  <c r="O94" i="3"/>
  <c r="P93" i="3"/>
  <c r="E23" i="4" s="1"/>
  <c r="R91" i="3"/>
  <c r="P90" i="3"/>
  <c r="E20" i="4" s="1"/>
  <c r="P79" i="3"/>
  <c r="D24" i="4" s="1"/>
  <c r="R77" i="3"/>
  <c r="P77" i="3"/>
  <c r="D22" i="4" s="1"/>
  <c r="P66" i="3"/>
  <c r="C26" i="4" s="1"/>
  <c r="R64" i="3"/>
  <c r="P81" i="3"/>
  <c r="D26" i="4" s="1"/>
  <c r="R79" i="3"/>
  <c r="E98" i="3"/>
  <c r="O64" i="3"/>
  <c r="L64" i="3"/>
  <c r="F78" i="6" s="1"/>
  <c r="L76" i="6" s="1"/>
  <c r="L93" i="3"/>
  <c r="L81" i="3"/>
  <c r="G80" i="6" s="1"/>
  <c r="M73" i="6" s="1"/>
  <c r="L77" i="3"/>
  <c r="G76" i="6" s="1"/>
  <c r="M78" i="6" s="1"/>
  <c r="E83" i="3"/>
  <c r="L79" i="3"/>
  <c r="G78" i="6" s="1"/>
  <c r="M76" i="6" s="1"/>
  <c r="O96" i="3"/>
  <c r="L75" i="3"/>
  <c r="G74" i="6" s="1"/>
  <c r="M80" i="6" s="1"/>
  <c r="L92" i="3"/>
  <c r="L90" i="3"/>
  <c r="D8" i="4"/>
  <c r="E8" i="4"/>
  <c r="C8" i="4"/>
  <c r="L94" i="3"/>
  <c r="O60" i="3"/>
  <c r="K63" i="3"/>
  <c r="O63" i="3" s="1"/>
  <c r="L66" i="3"/>
  <c r="F80" i="6" s="1"/>
  <c r="L73" i="6" s="1"/>
  <c r="E68" i="3"/>
  <c r="K62" i="3"/>
  <c r="O62" i="3" s="1"/>
  <c r="P62" i="3" s="1"/>
  <c r="C22" i="4" s="1"/>
  <c r="H78" i="6" l="1"/>
  <c r="N76" i="6" s="1"/>
  <c r="E63" i="6"/>
  <c r="H79" i="6"/>
  <c r="N74" i="6" s="1"/>
  <c r="E61" i="6"/>
  <c r="F54" i="6"/>
  <c r="G54" i="6" s="1"/>
  <c r="H54" i="6" s="1"/>
  <c r="I54" i="6" s="1"/>
  <c r="J54" i="6" s="1"/>
  <c r="K54" i="6" s="1"/>
  <c r="L54" i="6" s="1"/>
  <c r="M54" i="6" s="1"/>
  <c r="N54" i="6" s="1"/>
  <c r="H74" i="6"/>
  <c r="N80" i="6" s="1"/>
  <c r="E42" i="6"/>
  <c r="H76" i="6"/>
  <c r="N78" i="6" s="1"/>
  <c r="E38" i="6"/>
  <c r="E41" i="6"/>
  <c r="H77" i="6"/>
  <c r="N75" i="6" s="1"/>
  <c r="P78" i="3"/>
  <c r="D23" i="4" s="1"/>
  <c r="H20" i="6"/>
  <c r="L80" i="3"/>
  <c r="E12" i="6"/>
  <c r="E11" i="6"/>
  <c r="E10" i="6"/>
  <c r="P94" i="3"/>
  <c r="E24" i="4" s="1"/>
  <c r="R92" i="3"/>
  <c r="P80" i="3"/>
  <c r="D25" i="4" s="1"/>
  <c r="R78" i="3"/>
  <c r="P65" i="3"/>
  <c r="C25" i="4" s="1"/>
  <c r="R63" i="3"/>
  <c r="P64" i="3"/>
  <c r="C24" i="4" s="1"/>
  <c r="R62" i="3"/>
  <c r="P63" i="3"/>
  <c r="C23" i="4" s="1"/>
  <c r="R61" i="3"/>
  <c r="P60" i="3"/>
  <c r="C20" i="4" s="1"/>
  <c r="P96" i="3"/>
  <c r="E26" i="4" s="1"/>
  <c r="R94" i="3"/>
  <c r="O95" i="3"/>
  <c r="L89" i="3"/>
  <c r="O89" i="3"/>
  <c r="R89" i="3" s="1"/>
  <c r="K74" i="3"/>
  <c r="O59" i="3"/>
  <c r="L59" i="3"/>
  <c r="L63" i="3"/>
  <c r="F77" i="6" s="1"/>
  <c r="L75" i="6" s="1"/>
  <c r="L65" i="3"/>
  <c r="L62" i="3"/>
  <c r="F76" i="6" s="1"/>
  <c r="L78" i="6" s="1"/>
  <c r="F20" i="6" l="1"/>
  <c r="F79" i="6"/>
  <c r="L74" i="6" s="1"/>
  <c r="F52" i="6"/>
  <c r="G52" i="6" s="1"/>
  <c r="H52" i="6" s="1"/>
  <c r="I52" i="6" s="1"/>
  <c r="J52" i="6" s="1"/>
  <c r="K52" i="6" s="1"/>
  <c r="L52" i="6" s="1"/>
  <c r="M52" i="6" s="1"/>
  <c r="N52" i="6" s="1"/>
  <c r="G20" i="6"/>
  <c r="G79" i="6"/>
  <c r="M74" i="6" s="1"/>
  <c r="F53" i="6"/>
  <c r="G53" i="6" s="1"/>
  <c r="H53" i="6" s="1"/>
  <c r="I53" i="6" s="1"/>
  <c r="J53" i="6" s="1"/>
  <c r="K53" i="6" s="1"/>
  <c r="L53" i="6" s="1"/>
  <c r="M53" i="6" s="1"/>
  <c r="N53" i="6" s="1"/>
  <c r="R54" i="6"/>
  <c r="P54" i="6"/>
  <c r="F73" i="6"/>
  <c r="L77" i="6" s="1"/>
  <c r="H73" i="6"/>
  <c r="N77" i="6" s="1"/>
  <c r="E40" i="6"/>
  <c r="P95" i="3"/>
  <c r="E25" i="4" s="1"/>
  <c r="R93" i="3"/>
  <c r="P59" i="3"/>
  <c r="R59" i="3"/>
  <c r="L74" i="3"/>
  <c r="O74" i="3"/>
  <c r="R74" i="3" s="1"/>
  <c r="R53" i="6" l="1"/>
  <c r="P53" i="6"/>
  <c r="R52" i="6"/>
  <c r="P52" i="6"/>
  <c r="G73" i="6"/>
  <c r="M77" i="6" s="1"/>
  <c r="C19" i="4"/>
  <c r="P89" i="3"/>
  <c r="P74" i="3"/>
  <c r="E19" i="4" l="1"/>
  <c r="D19" i="4"/>
  <c r="G11" i="3" l="1"/>
  <c r="I61" i="3" s="1"/>
  <c r="H17" i="3"/>
  <c r="I68" i="3" l="1"/>
  <c r="K61" i="3"/>
  <c r="K68" i="3" s="1"/>
  <c r="G17" i="3"/>
  <c r="I91" i="3"/>
  <c r="I76" i="3"/>
  <c r="I83" i="3" l="1"/>
  <c r="K76" i="3"/>
  <c r="K83" i="3" s="1"/>
  <c r="K91" i="3"/>
  <c r="K98" i="3" s="1"/>
  <c r="I98" i="3"/>
  <c r="L61" i="3"/>
  <c r="O61" i="3"/>
  <c r="F75" i="6" l="1"/>
  <c r="L79" i="6" s="1"/>
  <c r="F30" i="6"/>
  <c r="G30" i="6" s="1"/>
  <c r="H30" i="6" s="1"/>
  <c r="I30" i="6" s="1"/>
  <c r="J30" i="6" s="1"/>
  <c r="K30" i="6" s="1"/>
  <c r="L30" i="6" s="1"/>
  <c r="M30" i="6" s="1"/>
  <c r="N30" i="6" s="1"/>
  <c r="O76" i="3"/>
  <c r="P76" i="3" s="1"/>
  <c r="O91" i="3"/>
  <c r="O98" i="3" s="1"/>
  <c r="L68" i="3"/>
  <c r="C9" i="4" s="1"/>
  <c r="C13" i="4" s="1"/>
  <c r="F21" i="6"/>
  <c r="L76" i="3"/>
  <c r="O68" i="3"/>
  <c r="R60" i="3"/>
  <c r="P61" i="3"/>
  <c r="L91" i="3"/>
  <c r="H75" i="6" l="1"/>
  <c r="N79" i="6" s="1"/>
  <c r="E39" i="6"/>
  <c r="F32" i="6"/>
  <c r="G32" i="6" s="1"/>
  <c r="H32" i="6" s="1"/>
  <c r="I32" i="6" s="1"/>
  <c r="J32" i="6" s="1"/>
  <c r="K32" i="6" s="1"/>
  <c r="L32" i="6" s="1"/>
  <c r="M32" i="6" s="1"/>
  <c r="N32" i="6" s="1"/>
  <c r="G75" i="6"/>
  <c r="M79" i="6" s="1"/>
  <c r="F31" i="6"/>
  <c r="G31" i="6" s="1"/>
  <c r="H31" i="6" s="1"/>
  <c r="I31" i="6" s="1"/>
  <c r="J31" i="6" s="1"/>
  <c r="K31" i="6" s="1"/>
  <c r="L31" i="6" s="1"/>
  <c r="M31" i="6" s="1"/>
  <c r="N31" i="6" s="1"/>
  <c r="R30" i="6"/>
  <c r="P30" i="6"/>
  <c r="O83" i="3"/>
  <c r="R75" i="3"/>
  <c r="R90" i="3"/>
  <c r="P91" i="3"/>
  <c r="E21" i="4" s="1"/>
  <c r="E27" i="4" s="1"/>
  <c r="F10" i="6"/>
  <c r="G10" i="6" s="1"/>
  <c r="H10" i="6" s="1"/>
  <c r="I10" i="6" s="1"/>
  <c r="J10" i="6" s="1"/>
  <c r="K10" i="6" s="1"/>
  <c r="L10" i="6" s="1"/>
  <c r="M10" i="6" s="1"/>
  <c r="N10" i="6" s="1"/>
  <c r="R10" i="6" s="1"/>
  <c r="L98" i="3"/>
  <c r="E9" i="4" s="1"/>
  <c r="E13" i="4" s="1"/>
  <c r="H21" i="6"/>
  <c r="L83" i="3"/>
  <c r="D9" i="4" s="1"/>
  <c r="G21" i="6"/>
  <c r="D21" i="4"/>
  <c r="D27" i="4" s="1"/>
  <c r="P83" i="3"/>
  <c r="D10" i="4" s="1"/>
  <c r="C21" i="4"/>
  <c r="C27" i="4" s="1"/>
  <c r="P68" i="3"/>
  <c r="C10" i="4" s="1"/>
  <c r="C12" i="4" s="1"/>
  <c r="R31" i="6" l="1"/>
  <c r="P31" i="6"/>
  <c r="R32" i="6"/>
  <c r="P32" i="6"/>
  <c r="P98" i="3"/>
  <c r="E10" i="4" s="1"/>
  <c r="E28" i="4" s="1"/>
  <c r="P10" i="6"/>
  <c r="D12" i="4"/>
  <c r="F12" i="6"/>
  <c r="G12" i="6" s="1"/>
  <c r="H12" i="6" s="1"/>
  <c r="I12" i="6" s="1"/>
  <c r="J12" i="6" s="1"/>
  <c r="K12" i="6" s="1"/>
  <c r="L12" i="6" s="1"/>
  <c r="M12" i="6" s="1"/>
  <c r="N12" i="6" s="1"/>
  <c r="P12" i="6" s="1"/>
  <c r="D13" i="4"/>
  <c r="F11" i="6"/>
  <c r="G11" i="6" s="1"/>
  <c r="H11" i="6" s="1"/>
  <c r="I11" i="6" s="1"/>
  <c r="J11" i="6" s="1"/>
  <c r="K11" i="6" s="1"/>
  <c r="C28" i="4"/>
  <c r="D28" i="4"/>
  <c r="L11" i="6" l="1"/>
  <c r="M11" i="6" s="1"/>
  <c r="N11" i="6" s="1"/>
  <c r="E12" i="4"/>
  <c r="R12" i="6"/>
  <c r="P11" i="6" l="1"/>
  <c r="R11" i="6"/>
</calcChain>
</file>

<file path=xl/sharedStrings.xml><?xml version="1.0" encoding="utf-8"?>
<sst xmlns="http://schemas.openxmlformats.org/spreadsheetml/2006/main" count="511" uniqueCount="177">
  <si>
    <t>Schéma directeur / Plan stratégique à 10 ans cloud et datacenters</t>
  </si>
  <si>
    <t>Modélisation de la demande IT Horizon 2035</t>
  </si>
  <si>
    <t>Inputs &amp; Hypothèses</t>
  </si>
  <si>
    <t>A.</t>
  </si>
  <si>
    <t>Baseline 2026</t>
  </si>
  <si>
    <t>Bloc</t>
  </si>
  <si>
    <t>Unité</t>
  </si>
  <si>
    <t>Baseline IT 2026</t>
  </si>
  <si>
    <t>Source / commentaire</t>
  </si>
  <si>
    <t>DSP</t>
  </si>
  <si>
    <t>kW</t>
  </si>
  <si>
    <t>Hypothèse RB sur la base des entretiens</t>
  </si>
  <si>
    <t>DENJS</t>
  </si>
  <si>
    <t>APDP</t>
  </si>
  <si>
    <t>DITN</t>
  </si>
  <si>
    <t>CHPG</t>
  </si>
  <si>
    <t>Monaco Telecom – besoins propres</t>
  </si>
  <si>
    <t>Finance</t>
  </si>
  <si>
    <t>voir onglet calcul</t>
  </si>
  <si>
    <t>à calculer à partir du modèle</t>
  </si>
  <si>
    <t>Privé hors finance</t>
  </si>
  <si>
    <t>Driver / volume 2026</t>
  </si>
  <si>
    <t>agents</t>
  </si>
  <si>
    <t>kW capacité commerciale</t>
  </si>
  <si>
    <t>Hypothèse RB sur la base des entretiens (10% de la capa commerciale installée)</t>
  </si>
  <si>
    <t>salariés</t>
  </si>
  <si>
    <t>60 454 salariés privés – 4 534 finance (IMSEE, 2024)</t>
  </si>
  <si>
    <t>B.</t>
  </si>
  <si>
    <t>Hypothèses hors DSP, CHPG</t>
  </si>
  <si>
    <t>Hypothèse</t>
  </si>
  <si>
    <t>Scénario Bas</t>
  </si>
  <si>
    <t>Scénario Central</t>
  </si>
  <si>
    <t>Scénario 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</si>
  <si>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</si>
  <si>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</si>
  <si>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</si>
  <si>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</si>
  <si>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</si>
  <si>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</si>
  <si>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Hypothèse de travail – besoin IT / utilisateur</t>
  </si>
  <si>
    <t>Hypothèse de travail – finance plus data-intensive</t>
  </si>
  <si>
    <t>%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</si>
  <si>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</si>
  <si>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</si>
  <si>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</si>
  <si>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</si>
  <si>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</si>
  <si>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</si>
  <si>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</si>
  <si>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</si>
  <si>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</si>
  <si>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</si>
  <si>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</si>
  <si>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</si>
  <si>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C.</t>
  </si>
  <si>
    <t>Hypothèses DSP – applications métier (vidéo)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</si>
  <si>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</si>
  <si>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</si>
  <si>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</si>
  <si>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</si>
  <si>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</si>
  <si>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</si>
  <si>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</si>
  <si>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</si>
  <si>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</si>
  <si>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</si>
  <si>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</si>
  <si>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</si>
  <si>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</si>
  <si>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</si>
  <si>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</si>
  <si>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</si>
  <si>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</si>
  <si>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</si>
  <si>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</si>
  <si>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D.</t>
  </si>
  <si>
    <t>Hypothèses CHPG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</si>
  <si>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</si>
  <si>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</si>
  <si>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</si>
  <si>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</si>
  <si>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</si>
  <si>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</si>
  <si>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</si>
  <si>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</si>
  <si>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</si>
  <si>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</si>
  <si>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</si>
  <si>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</si>
  <si>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</si>
  <si>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</si>
  <si>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</si>
  <si>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Calculs</t>
  </si>
  <si>
    <t>Baseline besoins d'hébergement 2026</t>
  </si>
  <si>
    <t>Métier 2026</t>
  </si>
  <si>
    <t>Non-métier 2026 (kW)</t>
  </si>
  <si>
    <t>Monaco Telecom</t>
  </si>
  <si>
    <t>TOTAL</t>
  </si>
  <si>
    <t>Effectifs / driver</t>
  </si>
  <si>
    <t>W IT / utilisateur</t>
  </si>
  <si>
    <t>Commentaire</t>
  </si>
  <si>
    <t>W IT / Utilisateur</t>
  </si>
  <si>
    <t>DSP : résiduel vidéo après socle agents</t>
  </si>
  <si>
    <t>n.a.</t>
  </si>
  <si>
    <t>Projection générique public</t>
  </si>
  <si>
    <t>CHPG : activité + intensité + digitalisation métier</t>
  </si>
  <si>
    <t>Besoins propres uniquement</t>
  </si>
  <si>
    <t>Effectifs × W/salarié</t>
  </si>
  <si>
    <t>Hypothèses par scénario</t>
  </si>
  <si>
    <t>W</t>
  </si>
  <si>
    <t>Projection 2035 – besoin IT généré et demande adressable</t>
  </si>
  <si>
    <t>1.</t>
  </si>
  <si>
    <t>Scénario bas</t>
  </si>
  <si>
    <t>Croissance activité / effectifs</t>
  </si>
  <si>
    <t>Croissance intensité</t>
  </si>
  <si>
    <t>Facteur de croissance métier</t>
  </si>
  <si>
    <t>Besoin hors IA 2035</t>
  </si>
  <si>
    <t>Surcouche IA</t>
  </si>
  <si>
    <t>Besoin IA</t>
  </si>
  <si>
    <t>Besoin total 2035</t>
  </si>
  <si>
    <t>Adressable socle [%]</t>
  </si>
  <si>
    <t>Adressable IA [%]</t>
  </si>
  <si>
    <t>Demande adressable 2035 [kW IT]</t>
  </si>
  <si>
    <t>Demande adressable 2035 [MW IT]</t>
  </si>
  <si>
    <t>2.</t>
  </si>
  <si>
    <t>Scénario central</t>
  </si>
  <si>
    <t>3.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</si>
  <si>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</si>
  <si>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</si>
  <si>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</si>
  <si>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</si>
  <si>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Bas</t>
  </si>
  <si>
    <t>Central</t>
  </si>
  <si>
    <t>Haut</t>
  </si>
  <si>
    <t>Besoin IT total généré 2026 (MW IT)</t>
  </si>
  <si>
    <t>Besoin IT total généré 2035 (MW IT)</t>
  </si>
  <si>
    <t>Demande adressable Monaco 2035 (MW IT)</t>
  </si>
  <si>
    <t>Taux adressable moyen</t>
  </si>
  <si>
    <t>Croissance besoin généré 2026–2035 (x)</t>
  </si>
  <si>
    <t>B. Demande adressable 2035 par bloc d'entités</t>
  </si>
  <si>
    <t>Ctrl</t>
  </si>
  <si>
    <t>Autres entités publiques (incl. APDP, Caisses sociales, DENJS)</t>
  </si>
  <si>
    <t>Corps Sapeurs Pompiers</t>
  </si>
  <si>
    <t>E.</t>
  </si>
  <si>
    <t>Hypothèses Pompiers</t>
  </si>
  <si>
    <t>Croissance annuelle activité Pompiers</t>
  </si>
  <si>
    <t>Part adressable Monaco – public</t>
  </si>
  <si>
    <t>Autres entités publiques (incl. APDP, Caisses sociales, DENJS, DPP)</t>
  </si>
  <si>
    <t>Sliding</t>
  </si>
  <si>
    <t>Estimation basse</t>
  </si>
  <si>
    <t>Intermediate estimate</t>
  </si>
  <si>
    <t>Estimation haute</t>
  </si>
  <si>
    <t>CAGR</t>
  </si>
  <si>
    <t>Total 3 scénarios</t>
  </si>
  <si>
    <t>Scénario bas - 2035</t>
  </si>
  <si>
    <t>Scénario central - 2035</t>
  </si>
  <si>
    <t>Scénario haut - 2035</t>
  </si>
  <si>
    <t>Privé</t>
  </si>
  <si>
    <t>Public</t>
  </si>
  <si>
    <t>Scénario haut</t>
  </si>
  <si>
    <t>Evolution</t>
  </si>
  <si>
    <t>Répartition</t>
  </si>
  <si>
    <t>Estimation centrale</t>
  </si>
  <si>
    <t>Pompiers</t>
  </si>
  <si>
    <t>Autres entités</t>
  </si>
  <si>
    <t>Privé hors
finance</t>
  </si>
  <si>
    <t>Monaco 
Telecom</t>
  </si>
  <si>
    <t>Split total 3 scénarios</t>
  </si>
  <si>
    <t>Input (croissance historique)</t>
  </si>
  <si>
    <t>Input - Morningstar indique dans son 2022 Corporate Sustainability Report 12 224 employés en 2022 ; 6 947 896 kWh de consommation électrique des data centers. 6 947 896 kWh / 12 224 salariés = 568 kWh/salarié/an. Ensnuite 568 / 8 760 = 0,0649 kW = ~65 W/salarié - https://assets.contentstack.io/v3/assets/blt4eb669caa7dc65b2/blt7ae6d78e34f90570/2022_Corporate_Sustainability_Report.pdf</t>
  </si>
  <si>
    <t>Input (borne basse du benchmark)</t>
  </si>
  <si>
    <t>Croissance annuelle des besoins IT hors IA – public</t>
  </si>
  <si>
    <t>Croissance annuelle des besoins IT hors IA – privé finance</t>
  </si>
  <si>
    <t>Croissance annuelle des besoins IT hors IA – privé hors finance</t>
  </si>
  <si>
    <t>Besoins IT additionnels liés à l’IA – public</t>
  </si>
  <si>
    <t>Besoins additionnels liés à l’IA – finance</t>
  </si>
  <si>
    <t>Besoins additionnels liés à l’IA – hors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</si>
</sst>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  <numFmt numFmtId="172" formatCode="0.000;[Red]\(0.000\);\-"/>
    <numFmt numFmtId="173" formatCode="0.000;[Red]0.000"/>
    <numFmt numFmtId="174" formatCode="0;[Red]0"/>
    <numFmt numFmtId="175" formatCode="0.000"/>
  </numFmts>
  <fonts count="36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9"/>
      <color theme="1"/>
      <name val="RB Office"/>
    </font>
    <font>
      <b/>
      <sz val="9"/>
      <name val="RB Office"/>
    </font>
    <font>
      <sz val="9"/>
      <name val="RB Office"/>
    </font>
    <font>
      <b/>
      <sz val="9"/>
      <color rgb="FFFFFFFF"/>
      <name val="RB Office"/>
    </font>
    <font>
      <sz val="9"/>
      <color rgb="FF008000"/>
      <name val="RB Office"/>
    </font>
    <font>
      <sz val="9"/>
      <color rgb="FFFF0000"/>
      <name val="RB Office"/>
    </font>
    <font>
      <i/>
      <sz val="8"/>
      <color theme="3"/>
      <name val="RB Office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  <xf numFmtId="0" fontId="27" fillId="0" borderId="1"/>
    <xf numFmtId="0" fontId="2" fillId="0" borderId="1"/>
    <xf numFmtId="0" fontId="28" fillId="0" borderId="1"/>
    <xf numFmtId="0" fontId="28" fillId="0" borderId="1"/>
  </cellStyleXfs>
  <cellXfs count="103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5" borderId="1" xfId="4" applyFont="1" applyFill="1"/>
    <xf numFmtId="0" fontId="3" fillId="5" borderId="6" xfId="4" applyFont="1" applyFill="1" applyBorder="1"/>
    <xf numFmtId="0" fontId="18" fillId="6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0" fontId="22" fillId="6" borderId="0" xfId="0" applyFont="1" applyFill="1" applyAlignment="1">
      <alignment vertical="top"/>
    </xf>
    <xf numFmtId="0" fontId="22" fillId="6" borderId="0" xfId="0" applyFont="1" applyFill="1" applyAlignment="1">
      <alignment horizontal="right" vertical="top"/>
    </xf>
    <xf numFmtId="0" fontId="23" fillId="6" borderId="0" xfId="0" applyFont="1" applyFill="1" applyAlignment="1">
      <alignment vertical="top"/>
    </xf>
    <xf numFmtId="0" fontId="24" fillId="6" borderId="1" xfId="6" applyFont="1" applyFill="1">
      <alignment horizontal="left" vertical="top"/>
    </xf>
    <xf numFmtId="0" fontId="25" fillId="6" borderId="0" xfId="0" applyFont="1" applyFill="1" applyAlignment="1">
      <alignment horizontal="right" vertical="top"/>
    </xf>
    <xf numFmtId="0" fontId="25" fillId="6" borderId="0" xfId="0" applyFont="1" applyFill="1" applyAlignment="1">
      <alignment vertical="top"/>
    </xf>
    <xf numFmtId="0" fontId="23" fillId="6" borderId="5" xfId="0" applyFont="1" applyFill="1" applyBorder="1" applyAlignment="1">
      <alignment vertical="top"/>
    </xf>
    <xf numFmtId="0" fontId="25" fillId="6" borderId="5" xfId="0" applyFont="1" applyFill="1" applyBorder="1" applyAlignment="1">
      <alignment horizontal="right" vertical="top"/>
    </xf>
    <xf numFmtId="0" fontId="25" fillId="6" borderId="5" xfId="0" applyFont="1" applyFill="1" applyBorder="1" applyAlignment="1">
      <alignment vertical="top"/>
    </xf>
    <xf numFmtId="0" fontId="22" fillId="6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7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171" fontId="22" fillId="0" borderId="0" xfId="0" applyNumberFormat="1" applyFont="1"/>
    <xf numFmtId="3" fontId="4" fillId="0" borderId="1" xfId="0" applyNumberFormat="1" applyFont="1" applyBorder="1"/>
    <xf numFmtId="0" fontId="29" fillId="6" borderId="0" xfId="0" applyFont="1" applyFill="1" applyAlignment="1">
      <alignment vertical="top"/>
    </xf>
    <xf numFmtId="0" fontId="29" fillId="6" borderId="0" xfId="0" applyFont="1" applyFill="1" applyAlignment="1">
      <alignment horizontal="right" vertical="top"/>
    </xf>
    <xf numFmtId="0" fontId="30" fillId="6" borderId="1" xfId="6" applyFont="1" applyFill="1">
      <alignment horizontal="left" vertical="top"/>
    </xf>
    <xf numFmtId="0" fontId="29" fillId="6" borderId="5" xfId="0" applyFont="1" applyFill="1" applyBorder="1" applyAlignment="1">
      <alignment vertical="top"/>
    </xf>
    <xf numFmtId="0" fontId="29" fillId="6" borderId="5" xfId="0" applyFont="1" applyFill="1" applyBorder="1" applyAlignment="1">
      <alignment horizontal="right" vertical="top"/>
    </xf>
    <xf numFmtId="0" fontId="31" fillId="0" borderId="0" xfId="0" applyFont="1"/>
    <xf numFmtId="0" fontId="32" fillId="3" borderId="0" xfId="0" applyFont="1" applyFill="1"/>
    <xf numFmtId="0" fontId="31" fillId="0" borderId="1" xfId="8" applyFont="1" applyAlignment="1">
      <alignment horizontal="left"/>
    </xf>
    <xf numFmtId="172" fontId="33" fillId="0" borderId="1" xfId="9" applyNumberFormat="1" applyFont="1" applyAlignment="1">
      <alignment vertical="center"/>
    </xf>
    <xf numFmtId="9" fontId="31" fillId="0" borderId="0" xfId="1" applyFont="1"/>
    <xf numFmtId="174" fontId="34" fillId="0" borderId="0" xfId="0" applyNumberFormat="1" applyFont="1"/>
    <xf numFmtId="173" fontId="34" fillId="0" borderId="0" xfId="0" applyNumberFormat="1" applyFont="1"/>
    <xf numFmtId="0" fontId="31" fillId="0" borderId="1" xfId="8" applyFont="1" applyAlignment="1">
      <alignment horizontal="center" vertical="top"/>
    </xf>
    <xf numFmtId="0" fontId="29" fillId="0" borderId="1" xfId="10" applyFont="1"/>
    <xf numFmtId="2" fontId="29" fillId="0" borderId="1" xfId="10" applyNumberFormat="1" applyFont="1"/>
    <xf numFmtId="0" fontId="35" fillId="0" borderId="0" xfId="0" applyFont="1"/>
    <xf numFmtId="0" fontId="30" fillId="7" borderId="0" xfId="0" applyFont="1" applyFill="1"/>
    <xf numFmtId="4" fontId="31" fillId="0" borderId="0" xfId="0" applyNumberFormat="1" applyFont="1"/>
    <xf numFmtId="0" fontId="27" fillId="0" borderId="0" xfId="8" applyBorder="1" applyAlignment="1">
      <alignment horizontal="center" vertical="top"/>
    </xf>
    <xf numFmtId="0" fontId="27" fillId="0" borderId="0" xfId="8" applyBorder="1" applyAlignment="1">
      <alignment horizontal="left"/>
    </xf>
    <xf numFmtId="0" fontId="27" fillId="0" borderId="0" xfId="8" applyBorder="1"/>
    <xf numFmtId="2" fontId="28" fillId="0" borderId="0" xfId="11" applyNumberFormat="1" applyBorder="1"/>
    <xf numFmtId="1" fontId="28" fillId="0" borderId="0" xfId="11" applyNumberFormat="1" applyBorder="1"/>
    <xf numFmtId="0" fontId="28" fillId="0" borderId="0" xfId="10" applyBorder="1"/>
    <xf numFmtId="175" fontId="28" fillId="0" borderId="0" xfId="10" applyNumberFormat="1" applyBorder="1"/>
    <xf numFmtId="0" fontId="28" fillId="0" borderId="0" xfId="10" applyBorder="1" applyAlignment="1">
      <alignment wrapText="1"/>
    </xf>
    <xf numFmtId="0" fontId="31" fillId="0" borderId="0" xfId="0" applyFont="1" applyAlignment="1">
      <alignment wrapText="1"/>
    </xf>
    <xf numFmtId="166" fontId="9" fillId="0" borderId="0" xfId="0" applyNumberFormat="1" applyFont="1"/>
    <xf numFmtId="1" fontId="9" fillId="0" borderId="0" xfId="1" applyNumberFormat="1" applyFont="1" applyFill="1"/>
    <xf numFmtId="0" fontId="5" fillId="3" borderId="0" xfId="0" applyFont="1" applyFill="1"/>
    <xf numFmtId="168" fontId="9" fillId="0" borderId="0" xfId="0" applyNumberFormat="1" applyFont="1" applyFill="1"/>
  </cellXfs>
  <cellStyles count="12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" xfId="9" xr:uid="{2C546FAC-C460-46DC-91EC-09AC43EF644B}"/>
    <cellStyle name="Normal 2 2" xfId="10" xr:uid="{47E88EA8-47A3-4CDD-8D77-20A7B1227227}"/>
    <cellStyle name="Normal 24" xfId="2" xr:uid="{B311A80E-396E-4093-B62D-50741E785FFC}"/>
    <cellStyle name="Normal 3" xfId="8" xr:uid="{444A7387-FD97-4A60-9A39-D5271EBF3E23}"/>
    <cellStyle name="Normal 3 2" xfId="11" xr:uid="{7822AC39-3CC0-41A7-97CE-600352CA9940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DENJS, DPP)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'3_Output'!$C$19:$C$27</c:f>
              <c:numCache>
                <c:formatCode>0.00</c:formatCode>
                <c:ptCount val="9"/>
                <c:pt idx="0">
                  <c:v>0.35556399838627556</c:v>
                </c:pt>
                <c:pt idx="1">
                  <c:v>2.763469054612383E-2</c:v>
                </c:pt>
                <c:pt idx="2">
                  <c:v>1.8293102220690673E-2</c:v>
                </c:pt>
                <c:pt idx="3">
                  <c:v>0.11053876218449532</c:v>
                </c:pt>
                <c:pt idx="4">
                  <c:v>0.12565758549425979</c:v>
                </c:pt>
                <c:pt idx="5">
                  <c:v>0.21943991307736849</c:v>
                </c:pt>
                <c:pt idx="6">
                  <c:v>0.12212029683810377</c:v>
                </c:pt>
                <c:pt idx="7">
                  <c:v>0.24038496149721583</c:v>
                </c:pt>
                <c:pt idx="8">
                  <c:v>1.2196333102445334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DENJS, DPP)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'3_Output'!$D$19:$D$27</c:f>
              <c:numCache>
                <c:formatCode>0.00</c:formatCode>
                <c:ptCount val="9"/>
                <c:pt idx="0">
                  <c:v>0.38674536609669435</c:v>
                </c:pt>
                <c:pt idx="1">
                  <c:v>4.4324537849667348E-2</c:v>
                </c:pt>
                <c:pt idx="2">
                  <c:v>2.7948161648144332E-2</c:v>
                </c:pt>
                <c:pt idx="3">
                  <c:v>0.17729815139866939</c:v>
                </c:pt>
                <c:pt idx="4">
                  <c:v>0.19995396419680012</c:v>
                </c:pt>
                <c:pt idx="5">
                  <c:v>0.34456055837854621</c:v>
                </c:pt>
                <c:pt idx="6">
                  <c:v>0.38465260731963552</c:v>
                </c:pt>
                <c:pt idx="7">
                  <c:v>0.80672331510464401</c:v>
                </c:pt>
                <c:pt idx="8">
                  <c:v>2.3722066619928013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DENJS, DPP)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'3_Output'!$E$19:$E$27</c:f>
              <c:numCache>
                <c:formatCode>0.00</c:formatCode>
                <c:ptCount val="9"/>
                <c:pt idx="0">
                  <c:v>0.42771613739129971</c:v>
                </c:pt>
                <c:pt idx="1">
                  <c:v>5.6722656007014295E-2</c:v>
                </c:pt>
                <c:pt idx="2">
                  <c:v>7.4217607092400661E-2</c:v>
                </c:pt>
                <c:pt idx="3">
                  <c:v>0.22689062402805718</c:v>
                </c:pt>
                <c:pt idx="4">
                  <c:v>0.4746997923839999</c:v>
                </c:pt>
                <c:pt idx="5">
                  <c:v>0.43010570467927356</c:v>
                </c:pt>
                <c:pt idx="6">
                  <c:v>0.96757497709578222</c:v>
                </c:pt>
                <c:pt idx="7">
                  <c:v>1.8204125302452852</c:v>
                </c:pt>
                <c:pt idx="8">
                  <c:v>4.4783400289231121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27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0" customWidth="1"/>
    <col min="2" max="3" width="3.19921875" style="50" customWidth="1"/>
    <col min="4" max="4" width="27.3984375" style="50" customWidth="1"/>
    <col min="5" max="5" width="8" style="50"/>
    <col min="6" max="6" width="46.69921875" style="50" bestFit="1" customWidth="1"/>
    <col min="7" max="16384" width="8" style="50"/>
  </cols>
  <sheetData>
    <row r="1" spans="1:44" s="40" customFormat="1" ht="13.95" customHeight="1">
      <c r="A1" s="38"/>
      <c r="B1" s="38"/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44" s="40" customFormat="1" ht="13.95" customHeight="1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</row>
    <row r="3" spans="1:44" s="40" customFormat="1" ht="13.95" customHeight="1">
      <c r="A3" s="38"/>
      <c r="B3" s="38"/>
      <c r="C3" s="38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spans="1:44" s="40" customFormat="1" ht="48.6">
      <c r="A4" s="38"/>
      <c r="B4" s="41"/>
      <c r="C4" s="41"/>
      <c r="D4" s="42" t="s">
        <v>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1:44" s="40" customFormat="1" ht="45.6" customHeight="1">
      <c r="A5" s="38"/>
      <c r="B5" s="38"/>
      <c r="C5" s="38"/>
      <c r="D5" s="43" t="s">
        <v>1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 spans="1:44" s="40" customFormat="1" ht="31.35" customHeight="1">
      <c r="A6" s="38"/>
      <c r="B6" s="38"/>
      <c r="C6" s="38"/>
      <c r="D6" s="44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</row>
    <row r="7" spans="1:44" s="40" customFormat="1" ht="28.2">
      <c r="A7" s="38"/>
      <c r="B7" s="38"/>
      <c r="C7" s="38"/>
      <c r="D7" s="45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r="8" spans="1:44" s="40" customFormat="1" ht="13.95" customHeight="1">
      <c r="A8" s="46"/>
      <c r="B8" s="46"/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39"/>
      <c r="AO8" s="39"/>
      <c r="AP8" s="39"/>
      <c r="AQ8" s="39"/>
      <c r="AR8" s="39"/>
    </row>
    <row r="9" spans="1:44" s="49" customFormat="1" ht="13.9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1D9D-0786-47A1-8979-1D1FCF0F4570}">
  <dimension ref="B1:S80"/>
  <sheetViews>
    <sheetView tabSelected="1" workbookViewId="0">
      <selection activeCell="K19" sqref="K19"/>
    </sheetView>
  </sheetViews>
  <sheetFormatPr defaultRowHeight="12.6"/>
  <cols>
    <col min="1" max="1" width="8.796875" style="77"/>
    <col min="2" max="2" width="4" style="77" customWidth="1"/>
    <col min="3" max="3" width="3.59765625" style="77" customWidth="1"/>
    <col min="4" max="4" width="14.09765625" style="77" customWidth="1"/>
    <col min="5" max="16384" width="8.796875" style="77"/>
  </cols>
  <sheetData>
    <row r="1" spans="2:18" s="72" customFormat="1" ht="10.199999999999999" customHeight="1">
      <c r="D1" s="73"/>
      <c r="E1" s="73"/>
      <c r="F1" s="73"/>
      <c r="G1" s="73"/>
      <c r="H1" s="73"/>
      <c r="J1" s="73"/>
      <c r="K1" s="73"/>
      <c r="L1" s="73"/>
      <c r="M1" s="73"/>
      <c r="N1" s="73"/>
      <c r="O1" s="73"/>
    </row>
    <row r="2" spans="2:18" s="72" customFormat="1" ht="34.200000000000003" customHeight="1">
      <c r="B2" s="74" t="s">
        <v>148</v>
      </c>
      <c r="E2" s="74"/>
      <c r="F2" s="73"/>
      <c r="G2" s="73"/>
      <c r="H2" s="73"/>
      <c r="J2" s="73"/>
      <c r="K2" s="73"/>
      <c r="L2" s="73"/>
      <c r="M2" s="73"/>
      <c r="N2" s="73"/>
      <c r="O2" s="73"/>
    </row>
    <row r="3" spans="2:18" s="72" customFormat="1" ht="15.6" customHeight="1">
      <c r="D3" s="74"/>
      <c r="E3" s="74"/>
      <c r="F3" s="73"/>
      <c r="G3" s="73"/>
      <c r="H3" s="73"/>
      <c r="J3" s="73"/>
      <c r="K3" s="73"/>
      <c r="L3" s="73"/>
      <c r="M3" s="73"/>
      <c r="N3" s="73"/>
      <c r="O3" s="73"/>
    </row>
    <row r="4" spans="2:18" s="75" customFormat="1" ht="15" customHeight="1">
      <c r="D4" s="76"/>
      <c r="E4" s="76"/>
      <c r="F4" s="76"/>
      <c r="G4" s="76"/>
      <c r="H4" s="76"/>
      <c r="J4" s="76"/>
      <c r="K4" s="76"/>
      <c r="L4" s="76"/>
      <c r="M4" s="76"/>
      <c r="N4" s="76"/>
      <c r="O4" s="76"/>
    </row>
    <row r="6" spans="2:18" ht="16.2" customHeight="1">
      <c r="B6" s="78" t="s">
        <v>3</v>
      </c>
      <c r="D6" s="78" t="s">
        <v>153</v>
      </c>
      <c r="E6" s="78"/>
      <c r="F6" s="78"/>
      <c r="G6" s="78"/>
      <c r="H6" s="78"/>
      <c r="I6" s="78"/>
      <c r="J6" s="78"/>
      <c r="K6" s="78"/>
      <c r="L6" s="78"/>
      <c r="M6" s="78"/>
      <c r="N6" s="78"/>
    </row>
    <row r="8" spans="2:18">
      <c r="E8" s="77">
        <v>2026</v>
      </c>
      <c r="F8" s="77">
        <f>E8+1</f>
        <v>2027</v>
      </c>
      <c r="G8" s="77">
        <f t="shared" ref="G8:N8" si="0">F8+1</f>
        <v>2028</v>
      </c>
      <c r="H8" s="77">
        <f t="shared" si="0"/>
        <v>2029</v>
      </c>
      <c r="I8" s="77">
        <f t="shared" si="0"/>
        <v>2030</v>
      </c>
      <c r="J8" s="77">
        <f t="shared" si="0"/>
        <v>2031</v>
      </c>
      <c r="K8" s="77">
        <f t="shared" si="0"/>
        <v>2032</v>
      </c>
      <c r="L8" s="77">
        <f t="shared" si="0"/>
        <v>2033</v>
      </c>
      <c r="M8" s="77">
        <f t="shared" si="0"/>
        <v>2034</v>
      </c>
      <c r="N8" s="77">
        <f t="shared" si="0"/>
        <v>2035</v>
      </c>
      <c r="P8" s="77" t="s">
        <v>152</v>
      </c>
    </row>
    <row r="10" spans="2:18">
      <c r="D10" s="79" t="s">
        <v>149</v>
      </c>
      <c r="E10" s="80">
        <f>'3_Output'!$C$8</f>
        <v>2.4703199999999996</v>
      </c>
      <c r="F10" s="80">
        <f>E10*(1+_xlfn.RRI($N$8-$E$8,'3_Output'!$C$8,'3_Output'!$C$9))</f>
        <v>2.5998048159381129</v>
      </c>
      <c r="G10" s="80">
        <f>F10*(1+_xlfn.RRI($N$8-$E$8,'3_Output'!$C$8,'3_Output'!$C$9))</f>
        <v>2.7360767353925834</v>
      </c>
      <c r="H10" s="80">
        <f>G10*(1+_xlfn.RRI($N$8-$E$8,'3_Output'!$C$8,'3_Output'!$C$9))</f>
        <v>2.8794915126177458</v>
      </c>
      <c r="I10" s="80">
        <f>H10*(1+_xlfn.RRI($N$8-$E$8,'3_Output'!$C$8,'3_Output'!$C$9))</f>
        <v>3.0304235491582219</v>
      </c>
      <c r="J10" s="80">
        <f>I10*(1+_xlfn.RRI($N$8-$E$8,'3_Output'!$C$8,'3_Output'!$C$9))</f>
        <v>3.1892668712692345</v>
      </c>
      <c r="K10" s="80">
        <f>J10*(1+_xlfn.RRI($N$8-$E$8,'3_Output'!$C$8,'3_Output'!$C$9))</f>
        <v>3.3564361585695921</v>
      </c>
      <c r="L10" s="80">
        <f>K10*(1+_xlfn.RRI($N$8-$E$8,'3_Output'!$C$8,'3_Output'!$C$9))</f>
        <v>3.5323678266127656</v>
      </c>
      <c r="M10" s="80">
        <f>L10*(1+_xlfn.RRI($N$8-$E$8,'3_Output'!$C$8,'3_Output'!$C$9))</f>
        <v>3.7175211662022387</v>
      </c>
      <c r="N10" s="80">
        <f>M10*(1+_xlfn.RRI($N$8-$E$8,'3_Output'!$C$8,'3_Output'!$C$9))</f>
        <v>3.9123795424254557</v>
      </c>
      <c r="P10" s="81">
        <f>_xlfn.RRI($N$8-$E$8,E10,N10)</f>
        <v>5.2416211639833454E-2</v>
      </c>
      <c r="R10" s="77" t="b">
        <f>N10='3_Output'!C9</f>
        <v>1</v>
      </c>
    </row>
    <row r="11" spans="2:18">
      <c r="D11" s="79" t="s">
        <v>150</v>
      </c>
      <c r="E11" s="80">
        <f>'3_Output'!$C$8</f>
        <v>2.4703199999999996</v>
      </c>
      <c r="F11" s="80">
        <f>E11*(1+_xlfn.RRI($N$8-$E$8,'3_Output'!$D$8,'3_Output'!$D$9))</f>
        <v>2.7346631782391393</v>
      </c>
      <c r="G11" s="80">
        <f>F11*(1+_xlfn.RRI($N$8-$E$8,'3_Output'!$D$8,'3_Output'!$D$9))</f>
        <v>3.0272931030866412</v>
      </c>
      <c r="H11" s="80">
        <f>G11*(1+_xlfn.RRI($N$8-$E$8,'3_Output'!$D$8,'3_Output'!$D$9))</f>
        <v>3.3512366732845709</v>
      </c>
      <c r="I11" s="80">
        <f>H11*(1+_xlfn.RRI($N$8-$E$8,'3_Output'!$D$8,'3_Output'!$D$9))</f>
        <v>3.7098446889455396</v>
      </c>
      <c r="J11" s="80">
        <f>I11*(1+_xlfn.RRI($N$8-$E$8,'3_Output'!$D$8,'3_Output'!$D$9))</f>
        <v>4.1068265114824802</v>
      </c>
      <c r="K11" s="80">
        <f>J11*(1+_xlfn.RRI($N$8-$E$8,'3_Output'!$D$8,'3_Output'!$D$9))</f>
        <v>4.5462884324166248</v>
      </c>
      <c r="L11" s="80">
        <f>K11*(1+_xlfn.RRI($N$8-$E$8,'3_Output'!$D$8,'3_Output'!$D$9))</f>
        <v>5.0327761479420818</v>
      </c>
      <c r="M11" s="80">
        <f>L11*(1+_xlfn.RRI($N$8-$E$8,'3_Output'!$D$8,'3_Output'!$D$9))</f>
        <v>5.5713217785944442</v>
      </c>
      <c r="N11" s="80">
        <f>M11*(1+_xlfn.RRI($N$8-$E$8,'3_Output'!$D$8,'3_Output'!$D$9))</f>
        <v>6.1674959203844111</v>
      </c>
      <c r="P11" s="81">
        <f t="shared" ref="P11:P12" si="1">_xlfn.RRI($N$8-$E$8,E11,N11)</f>
        <v>0.10700766631008918</v>
      </c>
      <c r="R11" s="82" t="b">
        <f>N11='3_Output'!D9</f>
        <v>1</v>
      </c>
    </row>
    <row r="12" spans="2:18">
      <c r="D12" s="79" t="s">
        <v>151</v>
      </c>
      <c r="E12" s="80">
        <f>'3_Output'!$C$8</f>
        <v>2.4703199999999996</v>
      </c>
      <c r="F12" s="80">
        <f>E12*(1+_xlfn.RRI($N$8-$E$8,'3_Output'!$E$8,'3_Output'!$E$9))</f>
        <v>2.822860060487359</v>
      </c>
      <c r="G12" s="80">
        <f>F12*(1+_xlfn.RRI($N$8-$E$8,'3_Output'!$E$8,'3_Output'!$E$9))</f>
        <v>3.2257112119461033</v>
      </c>
      <c r="H12" s="80">
        <f>G12*(1+_xlfn.RRI($N$8-$E$8,'3_Output'!$E$8,'3_Output'!$E$9))</f>
        <v>3.6860533642884041</v>
      </c>
      <c r="I12" s="80">
        <f>H12*(1+_xlfn.RRI($N$8-$E$8,'3_Output'!$E$8,'3_Output'!$E$9))</f>
        <v>4.2120910743850191</v>
      </c>
      <c r="J12" s="80">
        <f>I12*(1+_xlfn.RRI($N$8-$E$8,'3_Output'!$E$8,'3_Output'!$E$9))</f>
        <v>4.8131997737203118</v>
      </c>
      <c r="K12" s="80">
        <f>J12*(1+_xlfn.RRI($N$8-$E$8,'3_Output'!$E$8,'3_Output'!$E$9))</f>
        <v>5.5000928642369669</v>
      </c>
      <c r="L12" s="80">
        <f>K12*(1+_xlfn.RRI($N$8-$E$8,'3_Output'!$E$8,'3_Output'!$E$9))</f>
        <v>6.2850126604755898</v>
      </c>
      <c r="M12" s="80">
        <f>L12*(1+_xlfn.RRI($N$8-$E$8,'3_Output'!$E$8,'3_Output'!$E$9))</f>
        <v>7.1819485811206416</v>
      </c>
      <c r="N12" s="80">
        <f>M12*(1+_xlfn.RRI($N$8-$E$8,'3_Output'!$E$8,'3_Output'!$E$9))</f>
        <v>8.2068864787231295</v>
      </c>
      <c r="P12" s="81">
        <f t="shared" si="1"/>
        <v>0.14271028064678237</v>
      </c>
      <c r="R12" s="83" t="b">
        <f>N12='3_Output'!E9</f>
        <v>1</v>
      </c>
    </row>
    <row r="15" spans="2:18" ht="16.2" customHeight="1">
      <c r="B15" s="78" t="s">
        <v>27</v>
      </c>
      <c r="D15" s="78" t="s">
        <v>153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</row>
    <row r="17" spans="2:18">
      <c r="F17" s="87" t="s">
        <v>112</v>
      </c>
      <c r="G17" s="87" t="s">
        <v>125</v>
      </c>
      <c r="H17" s="87" t="s">
        <v>159</v>
      </c>
    </row>
    <row r="18" spans="2:18">
      <c r="D18" s="79"/>
      <c r="E18" s="84">
        <v>2026</v>
      </c>
      <c r="F18" s="84" t="s">
        <v>154</v>
      </c>
      <c r="G18" s="84" t="s">
        <v>155</v>
      </c>
      <c r="H18" s="84" t="s">
        <v>156</v>
      </c>
    </row>
    <row r="20" spans="2:18">
      <c r="D20" s="85" t="s">
        <v>157</v>
      </c>
      <c r="E20" s="86">
        <f>SUM('2_Calculs'!F14:F16)/10^3</f>
        <v>2.2003199999999996</v>
      </c>
      <c r="F20" s="86">
        <f>SUMIFS('2_Calculs'!$L:$L,'2_Calculs'!$B:$B,F$17,'2_Calculs'!$C:$C,$D20)/10^3</f>
        <v>3.2510733243776158</v>
      </c>
      <c r="G20" s="86">
        <f>SUMIFS('2_Calculs'!$L:$L,'2_Calculs'!$B:$B,G$17,'2_Calculs'!$C:$C,$D20)/10^3</f>
        <v>5.299668373866508</v>
      </c>
      <c r="H20" s="86">
        <f>SUMIFS('2_Calculs'!$L:$L,'2_Calculs'!$B:$B,H$17,'2_Calculs'!$C:$C,$D20)/10^3</f>
        <v>6.9466396618203587</v>
      </c>
    </row>
    <row r="21" spans="2:18">
      <c r="D21" s="85" t="s">
        <v>158</v>
      </c>
      <c r="E21" s="86">
        <f>SUM('2_Calculs'!F9:F13)/10^3</f>
        <v>0.27</v>
      </c>
      <c r="F21" s="86">
        <f>SUMIFS('2_Calculs'!$L:$L,'2_Calculs'!$B:$B,F$17,'2_Calculs'!$C:$C,$D21)/10^3</f>
        <v>0.66130621804783951</v>
      </c>
      <c r="G21" s="86">
        <f>SUMIFS('2_Calculs'!$L:$L,'2_Calculs'!$B:$B,G$17,'2_Calculs'!$C:$C,$D21)/10^3</f>
        <v>0.86782754651789917</v>
      </c>
      <c r="H21" s="86">
        <f>SUMIFS('2_Calculs'!$L:$L,'2_Calculs'!$B:$B,H$17,'2_Calculs'!$C:$C,$D21)/10^3</f>
        <v>1.2602468169027718</v>
      </c>
    </row>
    <row r="24" spans="2:18" ht="16.2" customHeight="1">
      <c r="B24" s="78" t="s">
        <v>54</v>
      </c>
      <c r="D24" s="78" t="s">
        <v>158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</row>
    <row r="26" spans="2:18">
      <c r="B26" s="88">
        <v>1</v>
      </c>
      <c r="D26" s="88" t="s">
        <v>160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8" spans="2:18" ht="14.4">
      <c r="D28" s="91"/>
      <c r="E28" s="90">
        <v>2026</v>
      </c>
      <c r="F28" s="90">
        <v>2027</v>
      </c>
      <c r="G28" s="90">
        <v>2028</v>
      </c>
      <c r="H28" s="90">
        <v>2029</v>
      </c>
      <c r="I28" s="90">
        <v>2030</v>
      </c>
      <c r="J28" s="90">
        <v>2031</v>
      </c>
      <c r="K28" s="90">
        <v>2032</v>
      </c>
      <c r="L28" s="90">
        <v>2033</v>
      </c>
      <c r="M28" s="90">
        <v>2034</v>
      </c>
      <c r="N28" s="90">
        <v>2035</v>
      </c>
      <c r="P28" s="77" t="s">
        <v>152</v>
      </c>
    </row>
    <row r="30" spans="2:18" ht="14.4">
      <c r="D30" s="92" t="s">
        <v>149</v>
      </c>
      <c r="E30" s="94">
        <f>SUM('2_Calculs'!$F$9:$F$13)</f>
        <v>270</v>
      </c>
      <c r="F30" s="94">
        <f>E30*(1+_xlfn.RRI($N$28-$E$28,$E$30,SUM('2_Calculs'!$L$59:$L$63)))</f>
        <v>298.25676440610084</v>
      </c>
      <c r="G30" s="94">
        <f>F30*(1+_xlfn.RRI($N$28-$E$28,$E$30,SUM('2_Calculs'!$L$59:$L$63)))</f>
        <v>329.47073153331974</v>
      </c>
      <c r="H30" s="94">
        <f>G30*(1+_xlfn.RRI($N$28-$E$28,$E$30,SUM('2_Calculs'!$L$59:$L$63)))</f>
        <v>363.95138649495937</v>
      </c>
      <c r="I30" s="94">
        <f>H30*(1+_xlfn.RRI($N$28-$E$28,$E$30,SUM('2_Calculs'!$L$59:$L$63)))</f>
        <v>402.04060347074386</v>
      </c>
      <c r="J30" s="94">
        <f>I30*(1+_xlfn.RRI($N$28-$E$28,$E$30,SUM('2_Calculs'!$L$59:$L$63)))</f>
        <v>444.11603537429721</v>
      </c>
      <c r="K30" s="94">
        <f>J30*(1+_xlfn.RRI($N$28-$E$28,$E$30,SUM('2_Calculs'!$L$59:$L$63)))</f>
        <v>490.59485826519739</v>
      </c>
      <c r="L30" s="94">
        <f>K30*(1+_xlfn.RRI($N$28-$E$28,$E$30,SUM('2_Calculs'!$L$59:$L$63)))</f>
        <v>541.93790763128663</v>
      </c>
      <c r="M30" s="94">
        <f>L30*(1+_xlfn.RRI($N$28-$E$28,$E$30,SUM('2_Calculs'!$L$59:$L$63)))</f>
        <v>598.65424755229583</v>
      </c>
      <c r="N30" s="94">
        <f>M30*(1+_xlfn.RRI($N$28-$E$28,$E$30,SUM('2_Calculs'!$L$59:$L$63)))</f>
        <v>661.30621804783948</v>
      </c>
      <c r="P30" s="81">
        <f>_xlfn.RRI($N$8-$E$8,E30,N30)</f>
        <v>0.10465468298555858</v>
      </c>
      <c r="R30" s="77" t="b">
        <f>N30=SUM('2_Calculs'!L59:L63)</f>
        <v>1</v>
      </c>
    </row>
    <row r="31" spans="2:18" ht="14.4">
      <c r="D31" s="92" t="s">
        <v>162</v>
      </c>
      <c r="E31" s="94">
        <f>SUM('2_Calculs'!$F$9:$F$13)</f>
        <v>270</v>
      </c>
      <c r="F31" s="94">
        <f>E31*(1+_xlfn.RRI($N$28-$E$28,$E$30,SUM('2_Calculs'!$L$74:$L$78)))</f>
        <v>307.40069021080166</v>
      </c>
      <c r="G31" s="94">
        <f>F31*(1+_xlfn.RRI($N$28-$E$28,$E$30,SUM('2_Calculs'!$L$74:$L$78)))</f>
        <v>349.98216422991572</v>
      </c>
      <c r="H31" s="94">
        <f>G31*(1+_xlfn.RRI($N$28-$E$28,$E$30,SUM('2_Calculs'!$L$74:$L$78)))</f>
        <v>398.46206979906009</v>
      </c>
      <c r="I31" s="94">
        <f>H31*(1+_xlfn.RRI($N$28-$E$28,$E$30,SUM('2_Calculs'!$L$74:$L$78)))</f>
        <v>453.65746399650254</v>
      </c>
      <c r="J31" s="94">
        <f>I31*(1+_xlfn.RRI($N$28-$E$28,$E$30,SUM('2_Calculs'!$L$74:$L$78)))</f>
        <v>516.49858352521028</v>
      </c>
      <c r="K31" s="94">
        <f>J31*(1+_xlfn.RRI($N$28-$E$28,$E$30,SUM('2_Calculs'!$L$74:$L$78)))</f>
        <v>588.04452247611493</v>
      </c>
      <c r="L31" s="94">
        <f>K31*(1+_xlfn.RRI($N$28-$E$28,$E$30,SUM('2_Calculs'!$L$74:$L$78)))</f>
        <v>669.50108179199628</v>
      </c>
      <c r="M31" s="94">
        <f>L31*(1+_xlfn.RRI($N$28-$E$28,$E$30,SUM('2_Calculs'!$L$74:$L$78)))</f>
        <v>762.24109125828898</v>
      </c>
      <c r="N31" s="94">
        <f>M31*(1+_xlfn.RRI($N$28-$E$28,$E$30,SUM('2_Calculs'!$L$74:$L$78)))</f>
        <v>867.82754651789878</v>
      </c>
      <c r="P31" s="81">
        <f>_xlfn.RRI($N$8-$E$8,E31,N31)</f>
        <v>0.1385210748548209</v>
      </c>
      <c r="R31" s="82" t="b">
        <f>N31=SUM('2_Calculs'!L74:L78)</f>
        <v>1</v>
      </c>
    </row>
    <row r="32" spans="2:18" ht="14.4">
      <c r="D32" s="92" t="s">
        <v>151</v>
      </c>
      <c r="E32" s="94">
        <f>SUM('2_Calculs'!$F$9:$F$13)</f>
        <v>270</v>
      </c>
      <c r="F32" s="94">
        <f>E32*(1+_xlfn.RRI($N$28-$E$28,$E$30,SUM('2_Calculs'!$L$89:$L$93)))</f>
        <v>320.41091523251004</v>
      </c>
      <c r="G32" s="94">
        <f>F32*(1+_xlfn.RRI($N$28-$E$28,$E$30,SUM('2_Calculs'!$L$89:$L$93)))</f>
        <v>380.23390592642494</v>
      </c>
      <c r="H32" s="94">
        <f>G32*(1+_xlfn.RRI($N$28-$E$28,$E$30,SUM('2_Calculs'!$L$89:$L$93)))</f>
        <v>451.22627333451089</v>
      </c>
      <c r="I32" s="94">
        <f>H32*(1+_xlfn.RRI($N$28-$E$28,$E$30,SUM('2_Calculs'!$L$89:$L$93)))</f>
        <v>535.47341931876065</v>
      </c>
      <c r="J32" s="94">
        <f>I32*(1+_xlfn.RRI($N$28-$E$28,$E$30,SUM('2_Calculs'!$L$89:$L$93)))</f>
        <v>635.45010506150265</v>
      </c>
      <c r="K32" s="94">
        <f>J32*(1+_xlfn.RRI($N$28-$E$28,$E$30,SUM('2_Calculs'!$L$89:$L$93)))</f>
        <v>754.09314721241014</v>
      </c>
      <c r="L32" s="94">
        <f>K32*(1+_xlfn.RRI($N$28-$E$28,$E$30,SUM('2_Calculs'!$L$89:$L$93)))</f>
        <v>894.88768692182327</v>
      </c>
      <c r="M32" s="94">
        <f>L32*(1+_xlfn.RRI($N$28-$E$28,$E$30,SUM('2_Calculs'!$L$89:$L$93)))</f>
        <v>1061.9695659145382</v>
      </c>
      <c r="N32" s="94">
        <f>M32*(1+_xlfn.RRI($N$28-$E$28,$E$30,SUM('2_Calculs'!$L$89:$L$93)))</f>
        <v>1260.2468169027725</v>
      </c>
      <c r="P32" s="81">
        <f>_xlfn.RRI($N$8-$E$8,E32,N32)</f>
        <v>0.18670709345374092</v>
      </c>
      <c r="R32" s="83" t="b">
        <f>N32=SUM('2_Calculs'!L89:L93)</f>
        <v>1</v>
      </c>
    </row>
    <row r="34" spans="2:19">
      <c r="B34" s="88">
        <v>2</v>
      </c>
      <c r="D34" s="88" t="s">
        <v>161</v>
      </c>
      <c r="E34" s="88"/>
      <c r="F34" s="88"/>
      <c r="G34" s="88"/>
      <c r="H34" s="88"/>
      <c r="I34" s="88"/>
      <c r="J34" s="88"/>
      <c r="K34" s="88"/>
      <c r="L34" s="88"/>
      <c r="M34" s="88"/>
      <c r="N34" s="88"/>
    </row>
    <row r="36" spans="2:19" ht="14.4">
      <c r="D36" s="91"/>
      <c r="E36" s="90" t="s">
        <v>159</v>
      </c>
    </row>
    <row r="37" spans="2:19" ht="14.4">
      <c r="D37" s="92"/>
      <c r="E37" s="92"/>
      <c r="F37" s="93"/>
      <c r="G37" s="93"/>
      <c r="H37" s="93"/>
      <c r="I37" s="93"/>
      <c r="J37" s="93"/>
      <c r="K37" s="93"/>
      <c r="L37" s="93"/>
      <c r="M37" s="93"/>
      <c r="N37" s="93"/>
    </row>
    <row r="38" spans="2:19" ht="14.4">
      <c r="D38" s="95" t="s">
        <v>14</v>
      </c>
      <c r="E38" s="96">
        <f>'2_Calculs'!L92</f>
        <v>226.89062402805718</v>
      </c>
      <c r="F38" s="90"/>
      <c r="G38" s="90"/>
      <c r="H38" s="90"/>
      <c r="I38" s="90"/>
      <c r="J38" s="90"/>
      <c r="K38" s="90"/>
      <c r="L38" s="90"/>
      <c r="M38" s="90"/>
      <c r="N38" s="90"/>
    </row>
    <row r="39" spans="2:19" ht="14.4">
      <c r="D39" s="97" t="s">
        <v>163</v>
      </c>
      <c r="E39" s="96">
        <f>'2_Calculs'!L91</f>
        <v>74.217607092400655</v>
      </c>
    </row>
    <row r="40" spans="2:19" ht="14.4">
      <c r="D40" s="95" t="s">
        <v>9</v>
      </c>
      <c r="E40" s="96">
        <f>'2_Calculs'!L89</f>
        <v>427.7161373912997</v>
      </c>
      <c r="F40" s="93"/>
      <c r="G40" s="93"/>
      <c r="H40" s="93"/>
      <c r="I40" s="93"/>
      <c r="J40" s="93"/>
      <c r="K40" s="93"/>
      <c r="L40" s="93"/>
      <c r="M40" s="93"/>
      <c r="N40" s="93"/>
    </row>
    <row r="41" spans="2:19" ht="14.4">
      <c r="D41" s="95" t="s">
        <v>15</v>
      </c>
      <c r="E41" s="96">
        <f>'2_Calculs'!L93</f>
        <v>474.69979238399992</v>
      </c>
      <c r="F41" s="93"/>
      <c r="G41" s="93"/>
      <c r="H41" s="93"/>
      <c r="I41" s="93"/>
      <c r="J41" s="93"/>
      <c r="K41" s="93"/>
      <c r="L41" s="93"/>
      <c r="M41" s="93"/>
      <c r="N41" s="93"/>
    </row>
    <row r="42" spans="2:19" ht="14.4">
      <c r="D42" s="95" t="s">
        <v>164</v>
      </c>
      <c r="E42" s="96">
        <f>'2_Calculs'!L90</f>
        <v>56.722656007014294</v>
      </c>
      <c r="F42" s="93"/>
      <c r="G42" s="93"/>
      <c r="H42" s="93"/>
      <c r="I42" s="93"/>
      <c r="J42" s="93"/>
      <c r="K42" s="93"/>
      <c r="L42" s="93"/>
      <c r="M42" s="93"/>
      <c r="N42" s="93"/>
    </row>
    <row r="43" spans="2:19" ht="14.4">
      <c r="D43" s="97"/>
      <c r="E43" s="96"/>
    </row>
    <row r="46" spans="2:19" ht="16.2" customHeight="1">
      <c r="B46" s="78" t="s">
        <v>75</v>
      </c>
      <c r="D46" s="78" t="s">
        <v>157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</row>
    <row r="47" spans="2:19">
      <c r="R47" s="77">
        <v>500</v>
      </c>
      <c r="S47" s="77">
        <f>0.438</f>
        <v>0.438</v>
      </c>
    </row>
    <row r="48" spans="2:19">
      <c r="B48" s="88">
        <v>1</v>
      </c>
      <c r="D48" s="88" t="s">
        <v>160</v>
      </c>
      <c r="E48" s="88"/>
      <c r="F48" s="88"/>
      <c r="G48" s="88"/>
      <c r="H48" s="88"/>
      <c r="I48" s="88"/>
      <c r="J48" s="88"/>
      <c r="K48" s="88"/>
      <c r="L48" s="88"/>
      <c r="M48" s="88"/>
      <c r="N48" s="88"/>
      <c r="R48" s="89">
        <f>R47/S47</f>
        <v>1141.552511415525</v>
      </c>
      <c r="S48" s="77">
        <v>1</v>
      </c>
    </row>
    <row r="50" spans="2:18" ht="14.4">
      <c r="D50" s="91"/>
      <c r="E50" s="90">
        <v>2026</v>
      </c>
      <c r="F50" s="90">
        <v>2027</v>
      </c>
      <c r="G50" s="90">
        <v>2028</v>
      </c>
      <c r="H50" s="90">
        <v>2029</v>
      </c>
      <c r="I50" s="90">
        <v>2030</v>
      </c>
      <c r="J50" s="90">
        <v>2031</v>
      </c>
      <c r="K50" s="90">
        <v>2032</v>
      </c>
      <c r="L50" s="90">
        <v>2033</v>
      </c>
      <c r="M50" s="90">
        <v>2034</v>
      </c>
      <c r="N50" s="90">
        <v>2035</v>
      </c>
      <c r="P50" s="77" t="s">
        <v>152</v>
      </c>
    </row>
    <row r="52" spans="2:18" ht="14.4">
      <c r="D52" s="91" t="s">
        <v>149</v>
      </c>
      <c r="E52" s="94">
        <f>SUM('2_Calculs'!$F$14:$F$16)</f>
        <v>2200.3199999999997</v>
      </c>
      <c r="F52" s="94">
        <f>E52*(1+_xlfn.RRI($N$28-$E$28,$E$52,SUM('2_Calculs'!$L$64:$L$66)))</f>
        <v>2297.8608514512784</v>
      </c>
      <c r="G52" s="94">
        <f>F52*(1+_xlfn.RRI($N$28-$E$28,$E$52,SUM('2_Calculs'!$L$64:$L$66)))</f>
        <v>2399.7257183647812</v>
      </c>
      <c r="H52" s="94">
        <f>G52*(1+_xlfn.RRI($N$28-$E$28,$E$52,SUM('2_Calculs'!$L$64:$L$66)))</f>
        <v>2506.1062856544631</v>
      </c>
      <c r="I52" s="94">
        <f>H52*(1+_xlfn.RRI($N$28-$E$28,$E$52,SUM('2_Calculs'!$L$64:$L$66)))</f>
        <v>2617.2027356845215</v>
      </c>
      <c r="J52" s="94">
        <f>I52*(1+_xlfn.RRI($N$28-$E$28,$E$52,SUM('2_Calculs'!$L$64:$L$66)))</f>
        <v>2733.2241249639374</v>
      </c>
      <c r="K52" s="94">
        <f>J52*(1+_xlfn.RRI($N$28-$E$28,$E$52,SUM('2_Calculs'!$L$64:$L$66)))</f>
        <v>2854.3887775399985</v>
      </c>
      <c r="L52" s="94">
        <f>K52*(1+_xlfn.RRI($N$28-$E$28,$E$52,SUM('2_Calculs'!$L$64:$L$66)))</f>
        <v>2980.9246958310773</v>
      </c>
      <c r="M52" s="94">
        <f>L52*(1+_xlfn.RRI($N$28-$E$28,$E$52,SUM('2_Calculs'!$L$64:$L$66)))</f>
        <v>3113.0699896717497</v>
      </c>
      <c r="N52" s="94">
        <f>M52*(1+_xlfn.RRI($N$28-$E$28,$E$52,SUM('2_Calculs'!$L$64:$L$66)))</f>
        <v>3251.0733243776135</v>
      </c>
      <c r="P52" s="81">
        <f>_xlfn.RRI($N$8-$E$8,E52,N52)</f>
        <v>4.4330302615655404E-2</v>
      </c>
      <c r="R52" s="77" t="b">
        <f>N52=SUM('2_Calculs'!L64:L66)</f>
        <v>0</v>
      </c>
    </row>
    <row r="53" spans="2:18" ht="14.4">
      <c r="D53" s="91" t="s">
        <v>162</v>
      </c>
      <c r="E53" s="94">
        <f>SUM('2_Calculs'!$F$14:$F$16)</f>
        <v>2200.3199999999997</v>
      </c>
      <c r="F53" s="94">
        <f>E53*(1+_xlfn.RRI($N$28-$E$28,$E$52,SUM('2_Calculs'!$L$79:$L$81)))</f>
        <v>2426.0734247000687</v>
      </c>
      <c r="G53" s="94">
        <f>F53*(1+_xlfn.RRI($N$28-$E$28,$E$52,SUM('2_Calculs'!$L$79:$L$81)))</f>
        <v>2674.9892115855519</v>
      </c>
      <c r="H53" s="94">
        <f>G53*(1+_xlfn.RRI($N$28-$E$28,$E$52,SUM('2_Calculs'!$L$79:$L$81)))</f>
        <v>2949.4438252559162</v>
      </c>
      <c r="I53" s="94">
        <f>H53*(1+_xlfn.RRI($N$28-$E$28,$E$52,SUM('2_Calculs'!$L$79:$L$81)))</f>
        <v>3252.0575562186832</v>
      </c>
      <c r="J53" s="94">
        <f>I53*(1+_xlfn.RRI($N$28-$E$28,$E$52,SUM('2_Calculs'!$L$79:$L$81)))</f>
        <v>3585.719537493273</v>
      </c>
      <c r="K53" s="94">
        <f>J53*(1+_xlfn.RRI($N$28-$E$28,$E$52,SUM('2_Calculs'!$L$79:$L$81)))</f>
        <v>3953.6153279251439</v>
      </c>
      <c r="L53" s="94">
        <f>K53*(1+_xlfn.RRI($N$28-$E$28,$E$52,SUM('2_Calculs'!$L$79:$L$81)))</f>
        <v>4359.2573255553925</v>
      </c>
      <c r="M53" s="94">
        <f>L53*(1+_xlfn.RRI($N$28-$E$28,$E$52,SUM('2_Calculs'!$L$79:$L$81)))</f>
        <v>4806.5183014102658</v>
      </c>
      <c r="N53" s="94">
        <f>M53*(1+_xlfn.RRI($N$28-$E$28,$E$52,SUM('2_Calculs'!$L$79:$L$81)))</f>
        <v>5299.6683738665115</v>
      </c>
      <c r="P53" s="81">
        <f>_xlfn.RRI($N$8-$E$8,E53,N53)</f>
        <v>0.10260026936994127</v>
      </c>
      <c r="R53" s="82" t="b">
        <f>N53=SUM('2_Calculs'!L79:L81)</f>
        <v>1</v>
      </c>
    </row>
    <row r="54" spans="2:18" ht="14.4">
      <c r="D54" s="91" t="s">
        <v>151</v>
      </c>
      <c r="E54" s="94">
        <f>SUM('2_Calculs'!$F$14:$F$16)</f>
        <v>2200.3199999999997</v>
      </c>
      <c r="F54" s="94">
        <f>E54*(1+_xlfn.RRI($N$28-$E$28,$E$52,SUM('2_Calculs'!$L$94:$L$96)))</f>
        <v>2500.1288612504095</v>
      </c>
      <c r="G54" s="94">
        <f>F54*(1+_xlfn.RRI($N$28-$E$28,$E$52,SUM('2_Calculs'!$L$94:$L$96)))</f>
        <v>2840.7887592974066</v>
      </c>
      <c r="H54" s="94">
        <f>G54*(1+_xlfn.RRI($N$28-$E$28,$E$52,SUM('2_Calculs'!$L$94:$L$96)))</f>
        <v>3227.8659312441782</v>
      </c>
      <c r="I54" s="94">
        <f>H54*(1+_xlfn.RRI($N$28-$E$28,$E$52,SUM('2_Calculs'!$L$94:$L$96)))</f>
        <v>3667.6850526062121</v>
      </c>
      <c r="J54" s="94">
        <f>I54*(1+_xlfn.RRI($N$28-$E$28,$E$52,SUM('2_Calculs'!$L$94:$L$96)))</f>
        <v>4167.432579805446</v>
      </c>
      <c r="K54" s="94">
        <f>J54*(1+_xlfn.RRI($N$28-$E$28,$E$52,SUM('2_Calculs'!$L$94:$L$96)))</f>
        <v>4735.274173796015</v>
      </c>
      <c r="L54" s="94">
        <f>K54*(1+_xlfn.RRI($N$28-$E$28,$E$52,SUM('2_Calculs'!$L$94:$L$96)))</f>
        <v>5380.4881234734521</v>
      </c>
      <c r="M54" s="94">
        <f>L54*(1+_xlfn.RRI($N$28-$E$28,$E$52,SUM('2_Calculs'!$L$94:$L$96)))</f>
        <v>6113.6169489488057</v>
      </c>
      <c r="N54" s="94">
        <f>M54*(1+_xlfn.RRI($N$28-$E$28,$E$52,SUM('2_Calculs'!$L$94:$L$96)))</f>
        <v>6946.6396618203635</v>
      </c>
      <c r="P54" s="81">
        <f>_xlfn.RRI($N$8-$E$8,E54,N54)</f>
        <v>0.13625693592314292</v>
      </c>
      <c r="R54" s="83" t="b">
        <f>N54=SUM('2_Calculs'!L94:L96)</f>
        <v>1</v>
      </c>
    </row>
    <row r="57" spans="2:18">
      <c r="B57" s="88">
        <v>2</v>
      </c>
      <c r="D57" s="88" t="s">
        <v>161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</row>
    <row r="59" spans="2:18" ht="14.4">
      <c r="D59" s="91"/>
      <c r="E59" s="90">
        <v>2035</v>
      </c>
    </row>
    <row r="60" spans="2:18" ht="14.4">
      <c r="D60" s="92"/>
      <c r="E60" s="92"/>
    </row>
    <row r="61" spans="2:18" ht="14.4">
      <c r="D61" s="95" t="s">
        <v>17</v>
      </c>
      <c r="E61" s="96">
        <f>'2_Calculs'!L95</f>
        <v>1734.9620278958853</v>
      </c>
    </row>
    <row r="62" spans="2:18" ht="28.8">
      <c r="D62" s="97" t="s">
        <v>165</v>
      </c>
      <c r="E62" s="96">
        <f>'2_Calculs'!L96</f>
        <v>4757.8963858683592</v>
      </c>
    </row>
    <row r="63" spans="2:18" ht="25.2">
      <c r="D63" s="98" t="s">
        <v>166</v>
      </c>
      <c r="E63" s="77">
        <f>'2_Calculs'!L94</f>
        <v>453.78124805611435</v>
      </c>
    </row>
    <row r="68" spans="2:14">
      <c r="B68" s="78" t="s">
        <v>143</v>
      </c>
      <c r="D68" s="78" t="s">
        <v>167</v>
      </c>
      <c r="E68" s="78"/>
      <c r="F68" s="78"/>
      <c r="G68" s="78"/>
      <c r="H68" s="78"/>
      <c r="I68" s="78"/>
      <c r="J68" s="78"/>
      <c r="K68" s="78"/>
      <c r="L68" s="78"/>
      <c r="M68" s="78"/>
      <c r="N68" s="78"/>
    </row>
    <row r="70" spans="2:14">
      <c r="F70" s="87" t="s">
        <v>112</v>
      </c>
      <c r="G70" s="87" t="s">
        <v>125</v>
      </c>
      <c r="H70" s="87" t="s">
        <v>159</v>
      </c>
    </row>
    <row r="71" spans="2:14">
      <c r="D71" s="79"/>
      <c r="E71" s="84">
        <v>2026</v>
      </c>
      <c r="F71" s="84" t="s">
        <v>154</v>
      </c>
      <c r="G71" s="84" t="s">
        <v>155</v>
      </c>
      <c r="H71" s="84" t="s">
        <v>156</v>
      </c>
      <c r="J71" s="79"/>
      <c r="K71" s="84">
        <v>2026</v>
      </c>
      <c r="L71" s="84" t="s">
        <v>154</v>
      </c>
      <c r="M71" s="84" t="s">
        <v>155</v>
      </c>
      <c r="N71" s="84" t="s">
        <v>156</v>
      </c>
    </row>
    <row r="73" spans="2:14" ht="13.8">
      <c r="D73" s="14" t="s">
        <v>9</v>
      </c>
      <c r="E73" s="86">
        <f>'2_Calculs'!F9</f>
        <v>80</v>
      </c>
      <c r="F73" s="86">
        <f>'2_Calculs'!L59</f>
        <v>368.73303536354501</v>
      </c>
      <c r="G73" s="86">
        <f>'2_Calculs'!L74</f>
        <v>401.33953085506016</v>
      </c>
      <c r="H73" s="86">
        <f>'2_Calculs'!L89</f>
        <v>427.7161373912997</v>
      </c>
      <c r="J73" s="71" t="s">
        <v>20</v>
      </c>
      <c r="K73" s="86">
        <f>E80</f>
        <v>1677.6</v>
      </c>
      <c r="L73" s="86">
        <f t="shared" ref="L73:N73" si="2">F80</f>
        <v>2403.8496149721582</v>
      </c>
      <c r="M73" s="86">
        <f t="shared" si="2"/>
        <v>3858.2419418048189</v>
      </c>
      <c r="N73" s="86">
        <f t="shared" si="2"/>
        <v>4757.8963858683592</v>
      </c>
    </row>
    <row r="74" spans="2:14" ht="13.8">
      <c r="D74" s="2" t="s">
        <v>147</v>
      </c>
      <c r="E74" s="86">
        <f>'2_Calculs'!F10</f>
        <v>20</v>
      </c>
      <c r="F74" s="86">
        <f>'2_Calculs'!L60</f>
        <v>28.658197603387677</v>
      </c>
      <c r="G74" s="86">
        <f>'2_Calculs'!L75</f>
        <v>45.997161919466123</v>
      </c>
      <c r="H74" s="86">
        <f>'2_Calculs'!L90</f>
        <v>56.722656007014294</v>
      </c>
      <c r="J74" s="14" t="s">
        <v>17</v>
      </c>
      <c r="K74" s="86">
        <f>E79</f>
        <v>362.72</v>
      </c>
      <c r="L74" s="86">
        <f t="shared" ref="L74:N74" si="3">F79</f>
        <v>617.95812857835642</v>
      </c>
      <c r="M74" s="86">
        <f t="shared" si="3"/>
        <v>1073.4491367059597</v>
      </c>
      <c r="N74" s="86">
        <f t="shared" si="3"/>
        <v>1734.9620278958853</v>
      </c>
    </row>
    <row r="75" spans="2:14" ht="13.8">
      <c r="D75" s="2" t="s">
        <v>142</v>
      </c>
      <c r="E75" s="86">
        <f>'2_Calculs'!F11</f>
        <v>10</v>
      </c>
      <c r="F75" s="86">
        <f>'2_Calculs'!L61</f>
        <v>18.970624525160698</v>
      </c>
      <c r="G75" s="86">
        <f>'2_Calculs'!L76</f>
        <v>29.002809257508268</v>
      </c>
      <c r="H75" s="86">
        <f>'2_Calculs'!L91</f>
        <v>74.217607092400655</v>
      </c>
      <c r="J75" s="14" t="s">
        <v>15</v>
      </c>
      <c r="K75" s="86">
        <f>E77</f>
        <v>80</v>
      </c>
      <c r="L75" s="86">
        <f t="shared" ref="L75:N75" si="4">F77</f>
        <v>130.31157014219534</v>
      </c>
      <c r="M75" s="86">
        <f t="shared" si="4"/>
        <v>207.49939680800014</v>
      </c>
      <c r="N75" s="86">
        <f t="shared" si="4"/>
        <v>474.69979238399992</v>
      </c>
    </row>
    <row r="76" spans="2:14" ht="13.8">
      <c r="D76" s="14" t="s">
        <v>14</v>
      </c>
      <c r="E76" s="86">
        <f>'2_Calculs'!F12</f>
        <v>80</v>
      </c>
      <c r="F76" s="86">
        <f>'2_Calculs'!L62</f>
        <v>114.63279041355071</v>
      </c>
      <c r="G76" s="86">
        <f>'2_Calculs'!L77</f>
        <v>183.98864767786449</v>
      </c>
      <c r="H76" s="86">
        <f>'2_Calculs'!L92</f>
        <v>226.89062402805718</v>
      </c>
      <c r="J76" s="14" t="s">
        <v>96</v>
      </c>
      <c r="K76" s="86">
        <f>E78</f>
        <v>160</v>
      </c>
      <c r="L76" s="86">
        <f t="shared" ref="L76:N76" si="5">F78</f>
        <v>229.26558082710142</v>
      </c>
      <c r="M76" s="86">
        <f t="shared" si="5"/>
        <v>367.97729535572898</v>
      </c>
      <c r="N76" s="86">
        <f t="shared" si="5"/>
        <v>453.78124805611435</v>
      </c>
    </row>
    <row r="77" spans="2:14" ht="13.8">
      <c r="D77" s="14" t="s">
        <v>15</v>
      </c>
      <c r="E77" s="86">
        <f>'2_Calculs'!F13</f>
        <v>80</v>
      </c>
      <c r="F77" s="86">
        <f>'2_Calculs'!L63</f>
        <v>130.31157014219534</v>
      </c>
      <c r="G77" s="86">
        <f>'2_Calculs'!L78</f>
        <v>207.49939680800014</v>
      </c>
      <c r="H77" s="86">
        <f>'2_Calculs'!L93</f>
        <v>474.69979238399992</v>
      </c>
      <c r="J77" s="14" t="s">
        <v>9</v>
      </c>
      <c r="K77" s="86">
        <f>E73</f>
        <v>80</v>
      </c>
      <c r="L77" s="86">
        <f t="shared" ref="L77:N77" si="6">F73</f>
        <v>368.73303536354501</v>
      </c>
      <c r="M77" s="86">
        <f t="shared" si="6"/>
        <v>401.33953085506016</v>
      </c>
      <c r="N77" s="86">
        <f t="shared" si="6"/>
        <v>427.7161373912997</v>
      </c>
    </row>
    <row r="78" spans="2:14" ht="13.8">
      <c r="D78" s="14" t="s">
        <v>96</v>
      </c>
      <c r="E78" s="86">
        <f>'2_Calculs'!F14</f>
        <v>160</v>
      </c>
      <c r="F78" s="86">
        <f>'2_Calculs'!L64</f>
        <v>229.26558082710142</v>
      </c>
      <c r="G78" s="86">
        <f>'2_Calculs'!L79</f>
        <v>367.97729535572898</v>
      </c>
      <c r="H78" s="86">
        <f>'2_Calculs'!L94</f>
        <v>453.78124805611435</v>
      </c>
      <c r="J78" s="14" t="s">
        <v>14</v>
      </c>
      <c r="K78" s="86">
        <f>E76</f>
        <v>80</v>
      </c>
      <c r="L78" s="86">
        <f t="shared" ref="L78:N78" si="7">F76</f>
        <v>114.63279041355071</v>
      </c>
      <c r="M78" s="86">
        <f t="shared" si="7"/>
        <v>183.98864767786449</v>
      </c>
      <c r="N78" s="86">
        <f t="shared" si="7"/>
        <v>226.89062402805718</v>
      </c>
    </row>
    <row r="79" spans="2:14" ht="13.8">
      <c r="D79" s="14" t="s">
        <v>17</v>
      </c>
      <c r="E79" s="86">
        <f>'2_Calculs'!F15</f>
        <v>362.72</v>
      </c>
      <c r="F79" s="86">
        <f>'2_Calculs'!L65</f>
        <v>617.95812857835642</v>
      </c>
      <c r="G79" s="86">
        <f>'2_Calculs'!L80</f>
        <v>1073.4491367059597</v>
      </c>
      <c r="H79" s="86">
        <f>'2_Calculs'!L95</f>
        <v>1734.9620278958853</v>
      </c>
      <c r="J79" s="2" t="s">
        <v>142</v>
      </c>
      <c r="K79" s="86">
        <f>E75</f>
        <v>10</v>
      </c>
      <c r="L79" s="86">
        <f t="shared" ref="L79:N79" si="8">F75</f>
        <v>18.970624525160698</v>
      </c>
      <c r="M79" s="86">
        <f t="shared" si="8"/>
        <v>29.002809257508268</v>
      </c>
      <c r="N79" s="86">
        <f t="shared" si="8"/>
        <v>74.217607092400655</v>
      </c>
    </row>
    <row r="80" spans="2:14" ht="13.8">
      <c r="D80" s="71" t="s">
        <v>20</v>
      </c>
      <c r="E80" s="86">
        <f>'2_Calculs'!F16</f>
        <v>1677.6</v>
      </c>
      <c r="F80" s="86">
        <f>'2_Calculs'!L66</f>
        <v>2403.8496149721582</v>
      </c>
      <c r="G80" s="86">
        <f>'2_Calculs'!L81</f>
        <v>3858.2419418048189</v>
      </c>
      <c r="H80" s="86">
        <f>'2_Calculs'!L96</f>
        <v>4757.8963858683592</v>
      </c>
      <c r="J80" s="2" t="s">
        <v>147</v>
      </c>
      <c r="K80" s="86">
        <f>E74</f>
        <v>20</v>
      </c>
      <c r="L80" s="86">
        <f t="shared" ref="L80:N80" si="9">F74</f>
        <v>28.658197603387677</v>
      </c>
      <c r="M80" s="86">
        <f t="shared" si="9"/>
        <v>45.997161919466123</v>
      </c>
      <c r="N80" s="86">
        <f t="shared" si="9"/>
        <v>56.722656007014294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20"/>
  <sheetViews>
    <sheetView topLeftCell="C84" zoomScaleNormal="100" workbookViewId="0">
      <selection activeCell="D40" sqref="D40"/>
    </sheetView>
  </sheetViews>
  <sheetFormatPr defaultColWidth="8.69921875"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19921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69921875" style="1"/>
  </cols>
  <sheetData>
    <row r="1" spans="2:16" s="54" customFormat="1" ht="10.199999999999999" customHeight="1">
      <c r="D1" s="55"/>
      <c r="E1" s="55"/>
      <c r="F1" s="55"/>
      <c r="G1" s="55"/>
      <c r="H1" s="55"/>
      <c r="J1" s="55"/>
      <c r="K1" s="55"/>
      <c r="L1" s="55"/>
      <c r="M1" s="55"/>
      <c r="N1" s="55"/>
      <c r="O1" s="55"/>
    </row>
    <row r="2" spans="2:16" s="54" customFormat="1" ht="34.200000000000003" customHeight="1">
      <c r="B2" s="57" t="s">
        <v>2</v>
      </c>
      <c r="C2" s="56"/>
      <c r="E2" s="57"/>
      <c r="F2" s="58"/>
      <c r="G2" s="58"/>
      <c r="H2" s="58"/>
      <c r="I2" s="59"/>
      <c r="J2" s="58"/>
      <c r="K2" s="58"/>
      <c r="L2" s="58"/>
      <c r="M2" s="58"/>
      <c r="N2" s="58"/>
      <c r="O2" s="58"/>
    </row>
    <row r="3" spans="2:16" s="54" customFormat="1" ht="15.6" customHeight="1">
      <c r="C3" s="56"/>
      <c r="D3" s="57"/>
      <c r="E3" s="57"/>
      <c r="F3" s="58"/>
      <c r="G3" s="58"/>
      <c r="H3" s="58"/>
      <c r="I3" s="59"/>
      <c r="J3" s="58"/>
      <c r="K3" s="58"/>
      <c r="L3" s="58"/>
      <c r="M3" s="58"/>
      <c r="N3" s="58"/>
      <c r="O3" s="58"/>
    </row>
    <row r="4" spans="2:16" s="63" customFormat="1" ht="15" customHeight="1">
      <c r="C4" s="60"/>
      <c r="D4" s="61"/>
      <c r="E4" s="61"/>
      <c r="F4" s="61"/>
      <c r="G4" s="61"/>
      <c r="H4" s="61"/>
      <c r="I4" s="62"/>
      <c r="J4" s="61"/>
      <c r="K4" s="61"/>
      <c r="L4" s="61"/>
      <c r="M4" s="61"/>
      <c r="N4" s="61"/>
      <c r="O4" s="61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2" customHeight="1">
      <c r="B6" s="3" t="s">
        <v>3</v>
      </c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2" customHeight="1">
      <c r="D7" s="18"/>
      <c r="E7" s="18"/>
      <c r="F7" s="18"/>
      <c r="G7" s="18"/>
      <c r="H7" s="18"/>
      <c r="I7" s="18"/>
      <c r="J7" s="18"/>
      <c r="K7" s="18"/>
      <c r="L7" s="18"/>
      <c r="M7" s="18"/>
      <c r="N7" s="2"/>
      <c r="O7" s="2"/>
      <c r="P7" s="2"/>
    </row>
    <row r="8" spans="2:16" ht="15.6" thickBot="1">
      <c r="D8" s="21" t="s">
        <v>5</v>
      </c>
      <c r="E8" s="21" t="s">
        <v>6</v>
      </c>
      <c r="F8" s="21" t="s">
        <v>7</v>
      </c>
      <c r="G8" s="21" t="s">
        <v>8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9</v>
      </c>
      <c r="E9" s="1" t="s">
        <v>10</v>
      </c>
      <c r="F9" s="9">
        <v>80</v>
      </c>
      <c r="G9" s="2" t="s">
        <v>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147</v>
      </c>
      <c r="E10" s="1" t="s">
        <v>10</v>
      </c>
      <c r="F10" s="9">
        <v>20</v>
      </c>
      <c r="G10" s="2" t="s">
        <v>11</v>
      </c>
      <c r="I10" s="2"/>
      <c r="J10" s="2"/>
      <c r="K10" s="2"/>
      <c r="L10" s="2"/>
      <c r="M10" s="2"/>
      <c r="N10" s="2"/>
      <c r="O10" s="2"/>
      <c r="P10" s="2"/>
    </row>
    <row r="11" spans="2:16">
      <c r="D11" s="2" t="s">
        <v>142</v>
      </c>
      <c r="E11" s="1" t="s">
        <v>10</v>
      </c>
      <c r="F11" s="9">
        <v>10</v>
      </c>
      <c r="G11" s="2" t="s">
        <v>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14</v>
      </c>
      <c r="E12" s="1" t="s">
        <v>10</v>
      </c>
      <c r="F12" s="9">
        <v>80</v>
      </c>
      <c r="G12" s="2" t="s">
        <v>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15</v>
      </c>
      <c r="E13" s="1" t="s">
        <v>10</v>
      </c>
      <c r="F13" s="9">
        <v>80</v>
      </c>
      <c r="G13" s="2" t="s">
        <v>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16</v>
      </c>
      <c r="E14" s="1" t="s">
        <v>10</v>
      </c>
      <c r="F14" s="9">
        <f>F25*10%</f>
        <v>160</v>
      </c>
      <c r="G14" s="2" t="s">
        <v>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17</v>
      </c>
      <c r="E15" s="1" t="s">
        <v>10</v>
      </c>
      <c r="F15" s="9" t="s">
        <v>18</v>
      </c>
      <c r="G15" s="2" t="s">
        <v>19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3" t="s">
        <v>20</v>
      </c>
      <c r="E16" s="19" t="s">
        <v>10</v>
      </c>
      <c r="F16" s="24" t="s">
        <v>18</v>
      </c>
      <c r="G16" s="23" t="s">
        <v>19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1" t="s">
        <v>5</v>
      </c>
      <c r="E19" s="21" t="s">
        <v>6</v>
      </c>
      <c r="F19" s="21" t="s">
        <v>21</v>
      </c>
      <c r="G19" s="21" t="s">
        <v>8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9</v>
      </c>
      <c r="E20" s="2" t="s">
        <v>22</v>
      </c>
      <c r="F20" s="10">
        <v>628</v>
      </c>
      <c r="G20" s="2" t="s">
        <v>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141</v>
      </c>
      <c r="E21" s="1" t="s">
        <v>10</v>
      </c>
      <c r="F21" s="10"/>
      <c r="G21" s="2" t="s">
        <v>11</v>
      </c>
      <c r="I21" s="2"/>
      <c r="J21" s="2"/>
      <c r="K21" s="2"/>
      <c r="L21" s="2"/>
      <c r="M21" s="2"/>
      <c r="N21" s="2"/>
      <c r="O21" s="2"/>
      <c r="P21" s="2"/>
    </row>
    <row r="22" spans="2:16">
      <c r="D22" s="2" t="s">
        <v>142</v>
      </c>
      <c r="E22" s="1" t="s">
        <v>10</v>
      </c>
      <c r="F22" s="10"/>
      <c r="G22" s="2" t="s">
        <v>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14</v>
      </c>
      <c r="E23" s="1" t="s">
        <v>10</v>
      </c>
      <c r="F23" s="10"/>
      <c r="G23" s="2" t="s">
        <v>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15</v>
      </c>
      <c r="E24" s="1" t="s">
        <v>10</v>
      </c>
      <c r="F24" s="10"/>
      <c r="G24" s="2" t="s">
        <v>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16</v>
      </c>
      <c r="E25" s="2" t="s">
        <v>23</v>
      </c>
      <c r="F25" s="10">
        <v>1600</v>
      </c>
      <c r="G25" s="2" t="s">
        <v>24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17</v>
      </c>
      <c r="E26" s="2" t="s">
        <v>25</v>
      </c>
      <c r="F26" s="10">
        <v>4534</v>
      </c>
      <c r="G26" s="2" t="s">
        <v>26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3" t="s">
        <v>20</v>
      </c>
      <c r="E27" s="23" t="s">
        <v>25</v>
      </c>
      <c r="F27" s="25">
        <v>55920</v>
      </c>
      <c r="G27" s="23" t="s">
        <v>26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3" t="s">
        <v>28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2" customHeight="1"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"/>
      <c r="O32" s="2"/>
      <c r="P32" s="2"/>
    </row>
    <row r="33" spans="4:16" ht="15.6" thickBot="1">
      <c r="D33" s="21" t="s">
        <v>29</v>
      </c>
      <c r="E33" s="21" t="s">
        <v>6</v>
      </c>
      <c r="F33" s="21" t="s">
        <v>30</v>
      </c>
      <c r="G33" s="21" t="s">
        <v>31</v>
      </c>
      <c r="H33" s="21" t="s">
        <v>32</v>
      </c>
      <c r="I33" s="21" t="s">
        <v>33</v>
      </c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99">
        <v>5.0000000000000001E-3</v>
      </c>
      <c r="G34" s="99">
        <v>5.0000000000000001E-3</v>
      </c>
      <c r="H34" s="99">
        <v>5.0000000000000001E-3</v>
      </c>
      <c r="I34" s="2" t="s">
        <v>168</v>
      </c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99">
        <v>5.0000000000000001E-3</v>
      </c>
      <c r="G35" s="99">
        <v>5.0000000000000001E-3</v>
      </c>
      <c r="H35" s="99">
        <v>5.0000000000000001E-3</v>
      </c>
      <c r="I35" s="2" t="s">
        <v>168</v>
      </c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99">
        <v>5.0000000000000001E-3</v>
      </c>
      <c r="G36" s="99">
        <v>5.0000000000000001E-3</v>
      </c>
      <c r="H36" s="99">
        <v>5.0000000000000001E-3</v>
      </c>
      <c r="I36" s="2" t="s">
        <v>168</v>
      </c>
      <c r="J36" s="2"/>
      <c r="K36" s="2"/>
      <c r="L36" s="2"/>
      <c r="M36" s="2"/>
      <c r="N36" s="2"/>
      <c r="O36" s="2"/>
      <c r="P36" s="2"/>
    </row>
    <row r="37" spans="4:16">
      <c r="D37" s="2" t="s">
        <v>171</v>
      </c>
      <c r="E37" s="2" t="s">
        <v>35</v>
      </c>
      <c r="F37" s="11">
        <v>0.03</v>
      </c>
      <c r="G37" s="11">
        <v>0.08</v>
      </c>
      <c r="H37" s="11">
        <v>0.1</v>
      </c>
      <c r="I37" s="2" t="s">
        <v>39</v>
      </c>
      <c r="J37" s="2"/>
      <c r="K37" s="2"/>
      <c r="L37" s="2"/>
      <c r="M37" s="2"/>
      <c r="N37" s="2"/>
      <c r="O37" s="2"/>
      <c r="P37" s="2"/>
    </row>
    <row r="38" spans="4:16">
      <c r="D38" s="2" t="s">
        <v>172</v>
      </c>
      <c r="E38" s="2" t="s">
        <v>35</v>
      </c>
      <c r="F38" s="11">
        <v>0.05</v>
      </c>
      <c r="G38" s="11">
        <v>0.1</v>
      </c>
      <c r="H38" s="11">
        <v>0.15</v>
      </c>
      <c r="I38" s="2" t="s">
        <v>40</v>
      </c>
      <c r="J38" s="2"/>
      <c r="K38" s="2"/>
      <c r="L38" s="2"/>
      <c r="M38" s="2"/>
      <c r="N38" s="2"/>
      <c r="O38" s="2"/>
      <c r="P38" s="2"/>
    </row>
    <row r="39" spans="4:16">
      <c r="D39" s="2" t="s">
        <v>173</v>
      </c>
      <c r="E39" s="2" t="s">
        <v>35</v>
      </c>
      <c r="F39" s="11">
        <v>0.03</v>
      </c>
      <c r="G39" s="11">
        <v>0.08</v>
      </c>
      <c r="H39" s="11">
        <v>0.1</v>
      </c>
      <c r="I39" s="2" t="s">
        <v>36</v>
      </c>
      <c r="J39" s="2"/>
      <c r="K39" s="2"/>
      <c r="L39" s="2"/>
      <c r="M39" s="2"/>
      <c r="N39" s="2"/>
      <c r="O39" s="2"/>
      <c r="P39" s="2"/>
    </row>
    <row r="40" spans="4:16">
      <c r="D40" s="2" t="s">
        <v>174</v>
      </c>
      <c r="E40" s="2" t="s">
        <v>41</v>
      </c>
      <c r="F40" s="11">
        <v>0.05</v>
      </c>
      <c r="G40" s="11">
        <v>0.1</v>
      </c>
      <c r="H40" s="11">
        <v>0.15</v>
      </c>
      <c r="I40" s="2" t="s">
        <v>36</v>
      </c>
      <c r="J40" s="2"/>
      <c r="K40" s="2"/>
      <c r="L40" s="2"/>
      <c r="M40" s="2"/>
      <c r="N40" s="2"/>
      <c r="O40" s="2"/>
      <c r="P40" s="2"/>
    </row>
    <row r="41" spans="4:16">
      <c r="D41" s="2" t="s">
        <v>175</v>
      </c>
      <c r="E41" s="2" t="s">
        <v>41</v>
      </c>
      <c r="F41" s="11">
        <v>0.05</v>
      </c>
      <c r="G41" s="11">
        <v>0.2</v>
      </c>
      <c r="H41" s="11">
        <v>0.3</v>
      </c>
      <c r="I41" s="2" t="s">
        <v>36</v>
      </c>
      <c r="J41" s="2"/>
      <c r="K41" s="2"/>
      <c r="L41" s="2"/>
      <c r="M41" s="2"/>
      <c r="N41" s="2"/>
      <c r="O41" s="2"/>
      <c r="P41" s="2"/>
    </row>
    <row r="42" spans="4:16">
      <c r="D42" s="2" t="s">
        <v>176</v>
      </c>
      <c r="E42" s="2" t="s">
        <v>41</v>
      </c>
      <c r="F42" s="11">
        <v>0.05</v>
      </c>
      <c r="G42" s="11">
        <v>0.1</v>
      </c>
      <c r="H42" s="11">
        <v>0.15</v>
      </c>
      <c r="I42" s="2" t="s">
        <v>36</v>
      </c>
      <c r="J42" s="2"/>
      <c r="K42" s="2"/>
      <c r="L42" s="2"/>
      <c r="M42" s="2"/>
      <c r="N42" s="2"/>
      <c r="O42" s="2"/>
      <c r="P42" s="2"/>
    </row>
    <row r="43" spans="4:16">
      <c r="D43" s="2" t="s">
        <v>42</v>
      </c>
      <c r="E43" s="2" t="s">
        <v>43</v>
      </c>
      <c r="F43" s="100">
        <v>80</v>
      </c>
      <c r="G43" s="100">
        <v>80</v>
      </c>
      <c r="H43" s="100">
        <v>80</v>
      </c>
      <c r="I43" s="2" t="s">
        <v>169</v>
      </c>
      <c r="J43" s="2"/>
      <c r="K43" s="2"/>
      <c r="L43" s="2"/>
      <c r="M43" s="2"/>
      <c r="N43" s="2"/>
      <c r="O43" s="2"/>
      <c r="P43" s="2"/>
    </row>
    <row r="44" spans="4:16">
      <c r="D44" s="2" t="s">
        <v>44</v>
      </c>
      <c r="E44" s="2" t="s">
        <v>43</v>
      </c>
      <c r="F44" s="100">
        <v>30</v>
      </c>
      <c r="G44" s="100">
        <v>30</v>
      </c>
      <c r="H44" s="100">
        <v>30</v>
      </c>
      <c r="I44" s="2" t="s">
        <v>170</v>
      </c>
      <c r="J44" s="2"/>
      <c r="K44" s="2"/>
      <c r="L44" s="2"/>
      <c r="M44" s="2"/>
      <c r="N44" s="2"/>
      <c r="O44" s="2"/>
      <c r="P44" s="2"/>
    </row>
    <row r="45" spans="4:16">
      <c r="D45" s="2" t="s">
        <v>45</v>
      </c>
      <c r="E45" s="2" t="s">
        <v>46</v>
      </c>
      <c r="F45" s="100">
        <v>30</v>
      </c>
      <c r="G45" s="100">
        <v>30</v>
      </c>
      <c r="H45" s="100">
        <v>30</v>
      </c>
      <c r="I45" s="2" t="s">
        <v>170</v>
      </c>
      <c r="J45" s="2"/>
      <c r="K45" s="2"/>
      <c r="L45" s="2"/>
      <c r="M45" s="2"/>
      <c r="N45" s="2"/>
      <c r="O45" s="2"/>
      <c r="P45" s="2"/>
    </row>
    <row r="46" spans="4:16">
      <c r="D46" s="2" t="s">
        <v>146</v>
      </c>
      <c r="E46" s="2" t="s">
        <v>41</v>
      </c>
      <c r="F46" s="11">
        <v>1</v>
      </c>
      <c r="G46" s="11">
        <v>1</v>
      </c>
      <c r="H46" s="11">
        <v>1</v>
      </c>
      <c r="I46" s="2" t="s">
        <v>47</v>
      </c>
      <c r="J46" s="2"/>
      <c r="K46" s="2"/>
      <c r="L46" s="2"/>
      <c r="M46" s="2"/>
      <c r="N46" s="2"/>
      <c r="O46" s="2"/>
      <c r="P46" s="2"/>
    </row>
    <row r="47" spans="4:16">
      <c r="D47" s="2" t="s">
        <v>48</v>
      </c>
      <c r="E47" s="2" t="s">
        <v>41</v>
      </c>
      <c r="F47" s="11">
        <v>0.2</v>
      </c>
      <c r="G47" s="11">
        <v>0.35</v>
      </c>
      <c r="H47" s="11">
        <v>0.5</v>
      </c>
      <c r="I47" s="2" t="s">
        <v>36</v>
      </c>
      <c r="J47" s="2"/>
      <c r="K47" s="2"/>
      <c r="L47" s="2"/>
      <c r="M47" s="2"/>
      <c r="N47" s="2"/>
      <c r="O47" s="2"/>
      <c r="P47" s="2"/>
    </row>
    <row r="48" spans="4:16">
      <c r="D48" s="2" t="s">
        <v>49</v>
      </c>
      <c r="E48" s="2" t="s">
        <v>41</v>
      </c>
      <c r="F48" s="11">
        <v>0.1</v>
      </c>
      <c r="G48" s="11">
        <v>0.2</v>
      </c>
      <c r="H48" s="11">
        <v>0.35</v>
      </c>
      <c r="I48" s="2" t="s">
        <v>36</v>
      </c>
      <c r="J48" s="2"/>
      <c r="K48" s="2">
        <f>2^5</f>
        <v>32</v>
      </c>
      <c r="L48" s="2"/>
      <c r="M48" s="2"/>
      <c r="N48" s="2"/>
      <c r="O48" s="2"/>
      <c r="P48" s="2"/>
    </row>
    <row r="49" spans="2:16">
      <c r="D49" s="2" t="s">
        <v>50</v>
      </c>
      <c r="E49" s="2" t="s">
        <v>41</v>
      </c>
      <c r="F49" s="11">
        <v>0.25</v>
      </c>
      <c r="G49" s="11">
        <v>0.6</v>
      </c>
      <c r="H49" s="11">
        <v>1</v>
      </c>
      <c r="I49" s="2" t="s">
        <v>51</v>
      </c>
      <c r="J49" s="2"/>
      <c r="K49" s="2"/>
      <c r="L49" s="2"/>
      <c r="M49" s="2"/>
      <c r="N49" s="2"/>
      <c r="O49" s="2"/>
      <c r="P49" s="2"/>
    </row>
    <row r="50" spans="2:16">
      <c r="D50" s="2" t="s">
        <v>52</v>
      </c>
      <c r="E50" s="2" t="s">
        <v>41</v>
      </c>
      <c r="F50" s="11">
        <v>0.15</v>
      </c>
      <c r="G50" s="11">
        <v>0.4</v>
      </c>
      <c r="H50" s="11">
        <v>0.75</v>
      </c>
      <c r="I50" s="2" t="s">
        <v>51</v>
      </c>
      <c r="J50" s="2"/>
      <c r="K50" s="2"/>
      <c r="L50" s="2"/>
      <c r="M50" s="2"/>
      <c r="N50" s="2"/>
      <c r="O50" s="2"/>
      <c r="P50" s="2"/>
    </row>
    <row r="51" spans="2:16" ht="15.6" thickBot="1">
      <c r="D51" s="23" t="s">
        <v>53</v>
      </c>
      <c r="E51" s="23" t="s">
        <v>41</v>
      </c>
      <c r="F51" s="26">
        <v>0.1</v>
      </c>
      <c r="G51" s="26">
        <v>0.3</v>
      </c>
      <c r="H51" s="26">
        <v>0.6</v>
      </c>
      <c r="I51" s="23" t="s">
        <v>51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2" customHeight="1">
      <c r="B54" s="3" t="s">
        <v>54</v>
      </c>
      <c r="D54" s="3" t="s">
        <v>55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2" customHeight="1"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"/>
      <c r="O55" s="2"/>
      <c r="P55" s="2"/>
    </row>
    <row r="56" spans="2:16" ht="15.6" thickBot="1">
      <c r="D56" s="21" t="s">
        <v>29</v>
      </c>
      <c r="E56" s="21" t="s">
        <v>6</v>
      </c>
      <c r="F56" s="21" t="s">
        <v>56</v>
      </c>
      <c r="G56" s="21" t="s">
        <v>57</v>
      </c>
      <c r="H56" s="21" t="s">
        <v>33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58</v>
      </c>
      <c r="E57" s="2" t="s">
        <v>59</v>
      </c>
      <c r="F57" s="12">
        <v>1300</v>
      </c>
      <c r="G57" s="2" t="s">
        <v>60</v>
      </c>
      <c r="H57" s="2" t="s">
        <v>61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62</v>
      </c>
      <c r="E58" s="2" t="s">
        <v>63</v>
      </c>
      <c r="F58" s="12">
        <v>50</v>
      </c>
      <c r="G58" s="2" t="s">
        <v>60</v>
      </c>
      <c r="H58" s="2" t="s">
        <v>61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64</v>
      </c>
      <c r="E59" s="2" t="s">
        <v>59</v>
      </c>
      <c r="F59" s="13">
        <f>F57+9*F58</f>
        <v>1750</v>
      </c>
      <c r="G59" s="2" t="s">
        <v>65</v>
      </c>
      <c r="H59" s="2" t="s">
        <v>66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67</v>
      </c>
      <c r="E60" s="2" t="s">
        <v>68</v>
      </c>
      <c r="F60" s="12">
        <v>2</v>
      </c>
      <c r="G60" s="2" t="s">
        <v>60</v>
      </c>
      <c r="H60" s="2" t="s">
        <v>61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69</v>
      </c>
      <c r="E61" s="2" t="s">
        <v>68</v>
      </c>
      <c r="F61" s="12">
        <v>8</v>
      </c>
      <c r="G61" s="2" t="s">
        <v>60</v>
      </c>
      <c r="H61" s="2" t="s">
        <v>70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3" t="s">
        <v>71</v>
      </c>
      <c r="E62" s="23" t="s">
        <v>72</v>
      </c>
      <c r="F62" s="27">
        <v>3.9531249999999996</v>
      </c>
      <c r="G62" s="23" t="s">
        <v>73</v>
      </c>
      <c r="H62" s="64" t="s">
        <v>74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2" customHeight="1">
      <c r="B64" s="3" t="s">
        <v>75</v>
      </c>
      <c r="D64" s="101" t="s">
        <v>76</v>
      </c>
      <c r="E64" s="101"/>
      <c r="F64" s="101"/>
      <c r="G64" s="101"/>
      <c r="H64" s="101"/>
      <c r="I64" s="101"/>
      <c r="J64" s="101"/>
      <c r="K64" s="101"/>
      <c r="L64" s="101"/>
      <c r="M64" s="101"/>
      <c r="N64" s="2"/>
      <c r="O64" s="2"/>
      <c r="P64" s="2"/>
    </row>
    <row r="65" spans="2:16" ht="16.2" customHeight="1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"/>
      <c r="O65" s="2"/>
      <c r="P65" s="2"/>
    </row>
    <row r="66" spans="2:16" ht="15.6" thickBot="1">
      <c r="D66" s="21" t="s">
        <v>29</v>
      </c>
      <c r="E66" s="21" t="s">
        <v>6</v>
      </c>
      <c r="F66" s="21" t="s">
        <v>30</v>
      </c>
      <c r="G66" s="21" t="s">
        <v>31</v>
      </c>
      <c r="H66" s="21" t="s">
        <v>32</v>
      </c>
      <c r="I66" s="2"/>
      <c r="J66" s="2"/>
      <c r="K66" s="2"/>
      <c r="L66" s="2"/>
      <c r="M66" s="2"/>
      <c r="N66" s="2"/>
      <c r="O66" s="2"/>
      <c r="P66" s="2"/>
    </row>
    <row r="67" spans="2:16">
      <c r="D67" s="2" t="s">
        <v>77</v>
      </c>
      <c r="E67" s="2" t="s">
        <v>35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2:16" ht="15.6" thickBot="1">
      <c r="D68" s="23" t="s">
        <v>78</v>
      </c>
      <c r="E68" s="23" t="s">
        <v>41</v>
      </c>
      <c r="F68" s="26">
        <v>0.05</v>
      </c>
      <c r="G68" s="26">
        <v>0.1</v>
      </c>
      <c r="H68" s="26">
        <v>0.2</v>
      </c>
      <c r="I68" s="2"/>
      <c r="J68" s="2"/>
      <c r="K68" s="2"/>
      <c r="L68" s="2"/>
      <c r="M68" s="2"/>
      <c r="N68" s="2"/>
      <c r="O68" s="2"/>
      <c r="P68" s="2"/>
    </row>
    <row r="69" spans="2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6" ht="16.2" customHeight="1">
      <c r="B70" s="3" t="s">
        <v>143</v>
      </c>
      <c r="D70" s="101" t="s">
        <v>144</v>
      </c>
      <c r="E70" s="101"/>
      <c r="F70" s="101"/>
      <c r="G70" s="101"/>
      <c r="H70" s="101"/>
      <c r="I70" s="101"/>
      <c r="J70" s="101"/>
      <c r="K70" s="101"/>
      <c r="L70" s="101"/>
      <c r="M70" s="101"/>
      <c r="N70" s="2"/>
      <c r="O70" s="2"/>
      <c r="P70" s="2"/>
    </row>
    <row r="71" spans="2:16" ht="16.2" customHeight="1"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2"/>
      <c r="O71" s="2"/>
      <c r="P71" s="2"/>
    </row>
    <row r="72" spans="2:16" ht="15.6" thickBot="1">
      <c r="D72" s="21" t="s">
        <v>29</v>
      </c>
      <c r="E72" s="21" t="s">
        <v>6</v>
      </c>
      <c r="F72" s="21" t="s">
        <v>30</v>
      </c>
      <c r="G72" s="21" t="s">
        <v>31</v>
      </c>
      <c r="H72" s="21" t="s">
        <v>32</v>
      </c>
      <c r="I72" s="2"/>
      <c r="J72" s="2"/>
      <c r="K72" s="2"/>
      <c r="L72" s="2"/>
      <c r="M72" s="2"/>
      <c r="N72" s="2"/>
      <c r="O72" s="2"/>
      <c r="P72" s="2"/>
    </row>
    <row r="73" spans="2:16">
      <c r="D73" s="2" t="s">
        <v>145</v>
      </c>
      <c r="E73" s="2" t="s">
        <v>35</v>
      </c>
      <c r="F73" s="11">
        <v>0</v>
      </c>
      <c r="G73" s="11">
        <v>5.0000000000000001E-3</v>
      </c>
      <c r="H73" s="11">
        <v>0.01</v>
      </c>
      <c r="I73" s="2"/>
      <c r="J73" s="2"/>
      <c r="K73" s="2"/>
      <c r="L73" s="2"/>
      <c r="M73" s="2"/>
      <c r="N73" s="2"/>
      <c r="O73" s="2"/>
      <c r="P73" s="2"/>
    </row>
    <row r="74" spans="2:16" ht="15.6" thickBot="1">
      <c r="D74" s="23" t="s">
        <v>78</v>
      </c>
      <c r="E74" s="23" t="s">
        <v>41</v>
      </c>
      <c r="F74" s="26">
        <v>7.4999999999999997E-2</v>
      </c>
      <c r="G74" s="26">
        <v>0.12</v>
      </c>
      <c r="H74" s="26">
        <v>0.25</v>
      </c>
      <c r="I74" s="2"/>
      <c r="J74" s="2"/>
      <c r="K74" s="2"/>
      <c r="L74" s="2"/>
      <c r="M74" s="2"/>
      <c r="N74" s="2"/>
      <c r="O74" s="2"/>
      <c r="P74" s="2"/>
    </row>
    <row r="75" spans="2:16" ht="15.6" thickTop="1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2:16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2:16" ht="16.2" customHeight="1">
      <c r="D77" s="101" t="s">
        <v>79</v>
      </c>
      <c r="E77" s="101"/>
      <c r="F77" s="101"/>
      <c r="G77" s="101"/>
      <c r="H77" s="101"/>
      <c r="I77" s="101"/>
      <c r="J77" s="101"/>
      <c r="K77" s="101"/>
      <c r="L77" s="101"/>
      <c r="M77" s="101"/>
      <c r="N77" s="2"/>
      <c r="O77" s="2"/>
      <c r="P77" s="2"/>
    </row>
    <row r="78" spans="2:16">
      <c r="D78" s="2" t="s">
        <v>80</v>
      </c>
      <c r="E78" s="12" t="s">
        <v>81</v>
      </c>
      <c r="F78" s="2" t="s">
        <v>82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2:16">
      <c r="D79" s="2" t="s">
        <v>83</v>
      </c>
      <c r="E79" s="12" t="s">
        <v>84</v>
      </c>
      <c r="F79" s="2" t="s">
        <v>85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2:16">
      <c r="D80" s="2" t="s">
        <v>86</v>
      </c>
      <c r="E80" s="12" t="s">
        <v>87</v>
      </c>
      <c r="F80" s="2" t="s">
        <v>88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 ht="15.6" thickBot="1">
      <c r="D81" s="23" t="s">
        <v>89</v>
      </c>
      <c r="E81" s="28" t="s">
        <v>90</v>
      </c>
      <c r="F81" s="23" t="s">
        <v>91</v>
      </c>
      <c r="G81" s="23"/>
      <c r="H81" s="23"/>
      <c r="I81" s="2"/>
      <c r="J81" s="2"/>
      <c r="K81" s="2"/>
      <c r="L81" s="2"/>
      <c r="M81" s="2"/>
      <c r="N81" s="2"/>
      <c r="O81" s="2"/>
      <c r="P81" s="2"/>
    </row>
    <row r="82" spans="4:16" ht="15.6" thickTop="1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64:M64"/>
    <mergeCell ref="D77:M77"/>
    <mergeCell ref="D70:M70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opLeftCell="G63" zoomScale="87" zoomScaleNormal="55" workbookViewId="0">
      <selection activeCell="F9" sqref="F9:F16"/>
    </sheetView>
  </sheetViews>
  <sheetFormatPr defaultColWidth="8.69921875"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69921875" style="1" customWidth="1"/>
    <col min="9" max="9" width="18" style="1" customWidth="1"/>
    <col min="10" max="10" width="41.69921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19921875" style="1" bestFit="1" customWidth="1"/>
    <col min="17" max="16384" width="8.69921875" style="1"/>
  </cols>
  <sheetData>
    <row r="1" spans="2:18" s="54" customFormat="1" ht="10.199999999999999" customHeight="1">
      <c r="F1" s="55"/>
      <c r="G1" s="55"/>
      <c r="H1" s="55"/>
      <c r="I1" s="55"/>
      <c r="J1" s="55"/>
      <c r="L1" s="55"/>
      <c r="M1" s="55"/>
      <c r="N1" s="55"/>
      <c r="O1" s="55"/>
      <c r="P1" s="55"/>
      <c r="Q1" s="55"/>
    </row>
    <row r="2" spans="2:18" s="54" customFormat="1" ht="34.200000000000003" customHeight="1">
      <c r="B2" s="57" t="s">
        <v>92</v>
      </c>
      <c r="D2" s="57"/>
      <c r="E2" s="56"/>
      <c r="G2" s="57"/>
      <c r="H2" s="58"/>
      <c r="I2" s="58"/>
      <c r="J2" s="58"/>
      <c r="K2" s="59"/>
      <c r="L2" s="58"/>
      <c r="M2" s="58"/>
      <c r="N2" s="58"/>
      <c r="O2" s="58"/>
      <c r="P2" s="58"/>
      <c r="Q2" s="58"/>
    </row>
    <row r="3" spans="2:18" s="54" customFormat="1" ht="15.6" customHeight="1">
      <c r="E3" s="56"/>
      <c r="F3" s="57"/>
      <c r="G3" s="57"/>
      <c r="H3" s="58"/>
      <c r="I3" s="58"/>
      <c r="J3" s="58"/>
      <c r="K3" s="59"/>
      <c r="L3" s="58"/>
      <c r="M3" s="58"/>
      <c r="N3" s="58"/>
      <c r="O3" s="58"/>
      <c r="P3" s="58"/>
      <c r="Q3" s="58"/>
    </row>
    <row r="4" spans="2:18" s="63" customFormat="1" ht="15" customHeight="1">
      <c r="E4" s="60"/>
      <c r="F4" s="61"/>
      <c r="G4" s="61"/>
      <c r="H4" s="61"/>
      <c r="I4" s="61"/>
      <c r="J4" s="61"/>
      <c r="K4" s="62"/>
      <c r="L4" s="61"/>
      <c r="M4" s="61"/>
      <c r="N4" s="61"/>
      <c r="O4" s="61"/>
      <c r="P4" s="61"/>
      <c r="Q4" s="61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2" customHeight="1">
      <c r="B6" s="3" t="s">
        <v>3</v>
      </c>
      <c r="D6" s="101" t="s">
        <v>93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</row>
    <row r="7" spans="2:18" ht="16.2" customHeight="1"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2:18" ht="15.6" thickBot="1">
      <c r="D8" s="21" t="s">
        <v>5</v>
      </c>
      <c r="E8" s="21" t="s">
        <v>6</v>
      </c>
      <c r="F8" s="21" t="s">
        <v>4</v>
      </c>
      <c r="G8" s="21" t="s">
        <v>94</v>
      </c>
      <c r="H8" s="21" t="s">
        <v>95</v>
      </c>
      <c r="M8" s="2"/>
      <c r="N8" s="2"/>
      <c r="O8" s="2"/>
      <c r="P8" s="2"/>
    </row>
    <row r="9" spans="2:18">
      <c r="D9" s="14" t="s">
        <v>9</v>
      </c>
      <c r="E9" s="1" t="s">
        <v>10</v>
      </c>
      <c r="F9" s="51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2" t="s">
        <v>147</v>
      </c>
      <c r="E10" s="1" t="s">
        <v>10</v>
      </c>
      <c r="F10" s="51">
        <f>'1_Inputs&amp;Hyp'!F10</f>
        <v>20</v>
      </c>
      <c r="G10" s="14">
        <f t="shared" ref="G10:G16" si="0">F10-H10</f>
        <v>0</v>
      </c>
      <c r="H10" s="14">
        <f>F10</f>
        <v>20</v>
      </c>
      <c r="M10" s="2"/>
      <c r="N10" s="2"/>
      <c r="O10" s="2"/>
      <c r="P10" s="2"/>
    </row>
    <row r="11" spans="2:18">
      <c r="D11" s="2" t="s">
        <v>142</v>
      </c>
      <c r="E11" s="1" t="s">
        <v>10</v>
      </c>
      <c r="F11" s="51">
        <f>'1_Inputs&amp;Hyp'!F11</f>
        <v>10</v>
      </c>
      <c r="G11" s="14">
        <f t="shared" si="0"/>
        <v>8</v>
      </c>
      <c r="H11" s="53">
        <v>2</v>
      </c>
      <c r="M11" s="2"/>
      <c r="N11" s="2"/>
      <c r="O11" s="2"/>
      <c r="P11" s="2"/>
    </row>
    <row r="12" spans="2:18">
      <c r="D12" s="14" t="s">
        <v>14</v>
      </c>
      <c r="E12" s="1" t="s">
        <v>10</v>
      </c>
      <c r="F12" s="51">
        <f>'1_Inputs&amp;Hyp'!F12</f>
        <v>80</v>
      </c>
      <c r="G12" s="14">
        <f t="shared" si="0"/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15</v>
      </c>
      <c r="E13" s="1" t="s">
        <v>10</v>
      </c>
      <c r="F13" s="51">
        <f>'1_Inputs&amp;Hyp'!F13</f>
        <v>80</v>
      </c>
      <c r="G13" s="14">
        <f t="shared" si="0"/>
        <v>80</v>
      </c>
      <c r="H13" s="53">
        <v>0</v>
      </c>
      <c r="M13" s="2"/>
      <c r="N13" s="2"/>
      <c r="O13" s="2"/>
      <c r="P13" s="2"/>
    </row>
    <row r="14" spans="2:18">
      <c r="D14" s="14" t="s">
        <v>96</v>
      </c>
      <c r="E14" s="1" t="s">
        <v>10</v>
      </c>
      <c r="F14" s="51">
        <f>'1_Inputs&amp;Hyp'!F14</f>
        <v>160</v>
      </c>
      <c r="G14" s="14">
        <f t="shared" si="0"/>
        <v>0</v>
      </c>
      <c r="H14" s="14">
        <f>F14</f>
        <v>160</v>
      </c>
      <c r="M14" s="2"/>
      <c r="N14" s="2"/>
      <c r="O14" s="2"/>
      <c r="P14" s="2"/>
    </row>
    <row r="15" spans="2:18">
      <c r="D15" s="14" t="s">
        <v>17</v>
      </c>
      <c r="E15" s="1" t="s">
        <v>10</v>
      </c>
      <c r="F15" s="51">
        <f>'1_Inputs&amp;Hyp'!F26*F43/1000</f>
        <v>362.72</v>
      </c>
      <c r="G15" s="71">
        <f t="shared" si="0"/>
        <v>0</v>
      </c>
      <c r="H15" s="14">
        <f>F15</f>
        <v>362.72</v>
      </c>
      <c r="M15" s="2"/>
      <c r="N15" s="2"/>
      <c r="O15" s="2"/>
      <c r="P15" s="2"/>
    </row>
    <row r="16" spans="2:18" ht="15.6" thickBot="1">
      <c r="D16" s="17" t="s">
        <v>20</v>
      </c>
      <c r="E16" s="19" t="s">
        <v>10</v>
      </c>
      <c r="F16" s="52">
        <f>'1_Inputs&amp;Hyp'!F27*F44/1000</f>
        <v>1677.6</v>
      </c>
      <c r="G16" s="17">
        <f t="shared" si="0"/>
        <v>0</v>
      </c>
      <c r="H16" s="17">
        <f>F16</f>
        <v>1677.6</v>
      </c>
      <c r="M16" s="2"/>
      <c r="N16" s="2"/>
      <c r="O16" s="2"/>
      <c r="P16" s="2"/>
    </row>
    <row r="17" spans="2:16" ht="15.6" thickTop="1">
      <c r="D17" s="20" t="s">
        <v>97</v>
      </c>
      <c r="E17" s="14" t="s">
        <v>10</v>
      </c>
      <c r="F17" s="14">
        <f>SUM(F9:F16)</f>
        <v>2470.3199999999997</v>
      </c>
      <c r="G17" s="14">
        <f t="shared" ref="G17:H17" si="1">SUM(G9:G16)</f>
        <v>149.16</v>
      </c>
      <c r="H17" s="14">
        <f t="shared" si="1"/>
        <v>2321.16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5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1" t="s">
        <v>5</v>
      </c>
      <c r="E20" s="21" t="s">
        <v>6</v>
      </c>
      <c r="F20" s="21" t="s">
        <v>98</v>
      </c>
      <c r="G20" s="21" t="s">
        <v>99</v>
      </c>
      <c r="H20" s="21" t="s">
        <v>100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9</v>
      </c>
      <c r="E21" s="14" t="s">
        <v>101</v>
      </c>
      <c r="F21" s="14">
        <f>'1_Inputs&amp;Hyp'!F20</f>
        <v>628</v>
      </c>
      <c r="G21" s="14">
        <f>F45</f>
        <v>30</v>
      </c>
      <c r="H21" s="14" t="s">
        <v>102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12</v>
      </c>
      <c r="E22" s="14" t="s">
        <v>103</v>
      </c>
      <c r="F22" s="14"/>
      <c r="G22" s="14"/>
      <c r="H22" s="14" t="s">
        <v>104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13</v>
      </c>
      <c r="E23" s="14" t="s">
        <v>103</v>
      </c>
      <c r="F23" s="14"/>
      <c r="G23" s="14"/>
      <c r="H23" s="14" t="s">
        <v>104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14</v>
      </c>
      <c r="E24" s="14" t="s">
        <v>103</v>
      </c>
      <c r="F24" s="14"/>
      <c r="G24" s="14"/>
      <c r="H24" s="14" t="s">
        <v>104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15</v>
      </c>
      <c r="E25" s="14" t="s">
        <v>103</v>
      </c>
      <c r="F25" s="14"/>
      <c r="G25" s="14"/>
      <c r="H25" s="14" t="s">
        <v>105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96</v>
      </c>
      <c r="E26" s="14" t="s">
        <v>103</v>
      </c>
      <c r="F26" s="14"/>
      <c r="G26" s="14"/>
      <c r="H26" s="14" t="s">
        <v>106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17</v>
      </c>
      <c r="E27" s="14" t="s">
        <v>101</v>
      </c>
      <c r="F27" s="14">
        <f>'1_Inputs&amp;Hyp'!F26</f>
        <v>4534</v>
      </c>
      <c r="G27" s="14">
        <f>F43</f>
        <v>80</v>
      </c>
      <c r="H27" s="14" t="s">
        <v>107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7" t="s">
        <v>20</v>
      </c>
      <c r="E28" s="17" t="s">
        <v>101</v>
      </c>
      <c r="F28" s="17">
        <f>'1_Inputs&amp;Hyp'!F27</f>
        <v>55920</v>
      </c>
      <c r="G28" s="17">
        <f>F44</f>
        <v>30</v>
      </c>
      <c r="H28" s="17" t="s">
        <v>107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0" t="s">
        <v>97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101" t="s">
        <v>108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1" t="s">
        <v>29</v>
      </c>
      <c r="E33" s="21" t="s">
        <v>6</v>
      </c>
      <c r="F33" s="21" t="s">
        <v>30</v>
      </c>
      <c r="G33" s="21" t="s">
        <v>31</v>
      </c>
      <c r="H33" s="21" t="s">
        <v>32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102">
        <f>'1_Inputs&amp;Hyp'!F34</f>
        <v>5.0000000000000001E-3</v>
      </c>
      <c r="G34" s="102">
        <f>'1_Inputs&amp;Hyp'!G34</f>
        <v>5.0000000000000001E-3</v>
      </c>
      <c r="H34" s="102">
        <f>'1_Inputs&amp;Hyp'!H34</f>
        <v>5.0000000000000001E-3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102">
        <f>'1_Inputs&amp;Hyp'!F35</f>
        <v>5.0000000000000001E-3</v>
      </c>
      <c r="G35" s="102">
        <f>'1_Inputs&amp;Hyp'!G35</f>
        <v>5.0000000000000001E-3</v>
      </c>
      <c r="H35" s="102">
        <f>'1_Inputs&amp;Hyp'!H35</f>
        <v>5.0000000000000001E-3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102">
        <f>'1_Inputs&amp;Hyp'!F36</f>
        <v>5.0000000000000001E-3</v>
      </c>
      <c r="G36" s="102">
        <f>'1_Inputs&amp;Hyp'!G36</f>
        <v>5.0000000000000001E-3</v>
      </c>
      <c r="H36" s="102">
        <f>'1_Inputs&amp;Hyp'!H36</f>
        <v>5.0000000000000001E-3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171</v>
      </c>
      <c r="E37" s="2" t="s">
        <v>35</v>
      </c>
      <c r="F37" s="7">
        <f>'1_Inputs&amp;Hyp'!F37</f>
        <v>0.03</v>
      </c>
      <c r="G37" s="7">
        <f>'1_Inputs&amp;Hyp'!G37</f>
        <v>0.08</v>
      </c>
      <c r="H37" s="7">
        <f>'1_Inputs&amp;Hyp'!H37</f>
        <v>0.1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172</v>
      </c>
      <c r="E38" s="2" t="s">
        <v>35</v>
      </c>
      <c r="F38" s="7">
        <f>'1_Inputs&amp;Hyp'!F38</f>
        <v>0.05</v>
      </c>
      <c r="G38" s="7">
        <f>'1_Inputs&amp;Hyp'!G38</f>
        <v>0.1</v>
      </c>
      <c r="H38" s="7">
        <f>'1_Inputs&amp;Hyp'!H38</f>
        <v>0.15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173</v>
      </c>
      <c r="E39" s="2" t="s">
        <v>35</v>
      </c>
      <c r="F39" s="7">
        <f>'1_Inputs&amp;Hyp'!F39</f>
        <v>0.03</v>
      </c>
      <c r="G39" s="7">
        <f>'1_Inputs&amp;Hyp'!G39</f>
        <v>0.08</v>
      </c>
      <c r="H39" s="7">
        <f>'1_Inputs&amp;Hyp'!H39</f>
        <v>0.1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174</v>
      </c>
      <c r="E40" s="2" t="s">
        <v>41</v>
      </c>
      <c r="F40" s="7">
        <f>'1_Inputs&amp;Hyp'!F40</f>
        <v>0.05</v>
      </c>
      <c r="G40" s="7">
        <f>'1_Inputs&amp;Hyp'!G40</f>
        <v>0.1</v>
      </c>
      <c r="H40" s="7">
        <f>'1_Inputs&amp;Hyp'!H40</f>
        <v>0.15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175</v>
      </c>
      <c r="E41" s="2" t="s">
        <v>41</v>
      </c>
      <c r="F41" s="7">
        <f>'1_Inputs&amp;Hyp'!F41</f>
        <v>0.05</v>
      </c>
      <c r="G41" s="7">
        <f>'1_Inputs&amp;Hyp'!G41</f>
        <v>0.2</v>
      </c>
      <c r="H41" s="7">
        <f>'1_Inputs&amp;Hyp'!H41</f>
        <v>0.3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176</v>
      </c>
      <c r="E42" s="2" t="s">
        <v>41</v>
      </c>
      <c r="F42" s="7">
        <f>'1_Inputs&amp;Hyp'!F42</f>
        <v>0.05</v>
      </c>
      <c r="G42" s="7">
        <f>'1_Inputs&amp;Hyp'!G42</f>
        <v>0.1</v>
      </c>
      <c r="H42" s="7">
        <f>'1_Inputs&amp;Hyp'!H42</f>
        <v>0.15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42</v>
      </c>
      <c r="E43" s="2" t="s">
        <v>109</v>
      </c>
      <c r="F43" s="100">
        <f>'1_Inputs&amp;Hyp'!F43</f>
        <v>80</v>
      </c>
      <c r="G43" s="100">
        <f>'1_Inputs&amp;Hyp'!G43</f>
        <v>80</v>
      </c>
      <c r="H43" s="100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44</v>
      </c>
      <c r="E44" s="2" t="s">
        <v>109</v>
      </c>
      <c r="F44" s="100">
        <f>'1_Inputs&amp;Hyp'!F44</f>
        <v>30</v>
      </c>
      <c r="G44" s="100">
        <f>'1_Inputs&amp;Hyp'!G44</f>
        <v>30</v>
      </c>
      <c r="H44" s="100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45</v>
      </c>
      <c r="E45" s="2" t="s">
        <v>109</v>
      </c>
      <c r="F45" s="100">
        <f>'1_Inputs&amp;Hyp'!F45</f>
        <v>30</v>
      </c>
      <c r="G45" s="100">
        <f>'1_Inputs&amp;Hyp'!G45</f>
        <v>30</v>
      </c>
      <c r="H45" s="100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146</v>
      </c>
      <c r="E46" s="2" t="s">
        <v>41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48</v>
      </c>
      <c r="E47" s="2" t="s">
        <v>41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49</v>
      </c>
      <c r="E48" s="2" t="s">
        <v>41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50</v>
      </c>
      <c r="E49" s="2" t="s">
        <v>41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52</v>
      </c>
      <c r="E50" s="2" t="s">
        <v>41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 ht="15.6" thickBot="1">
      <c r="D51" s="23" t="s">
        <v>53</v>
      </c>
      <c r="E51" s="2" t="s">
        <v>41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2" customHeight="1">
      <c r="B54" s="3" t="s">
        <v>54</v>
      </c>
      <c r="D54" s="101" t="s">
        <v>110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</row>
    <row r="55" spans="2:18" ht="16.2" customHeight="1"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2:18" ht="16.2" customHeight="1">
      <c r="C56" s="3" t="s">
        <v>111</v>
      </c>
      <c r="D56" s="67" t="s">
        <v>112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</row>
    <row r="57" spans="2:18" ht="16.2" customHeight="1"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2:18" ht="15.6" thickBot="1">
      <c r="D58" s="21" t="s">
        <v>5</v>
      </c>
      <c r="E58" s="21" t="s">
        <v>4</v>
      </c>
      <c r="F58" s="21" t="s">
        <v>113</v>
      </c>
      <c r="G58" s="21" t="s">
        <v>114</v>
      </c>
      <c r="H58" s="21" t="s">
        <v>115</v>
      </c>
      <c r="I58" s="21" t="s">
        <v>116</v>
      </c>
      <c r="J58" s="21" t="s">
        <v>117</v>
      </c>
      <c r="K58" s="21" t="s">
        <v>118</v>
      </c>
      <c r="L58" s="21" t="s">
        <v>119</v>
      </c>
      <c r="M58" s="21" t="s">
        <v>120</v>
      </c>
      <c r="N58" s="21" t="s">
        <v>121</v>
      </c>
      <c r="O58" s="21" t="s">
        <v>122</v>
      </c>
      <c r="P58" s="21" t="s">
        <v>123</v>
      </c>
    </row>
    <row r="59" spans="2:18">
      <c r="B59" s="1" t="s">
        <v>112</v>
      </c>
      <c r="C59" s="1" t="s">
        <v>158</v>
      </c>
      <c r="D59" s="2" t="s">
        <v>9</v>
      </c>
      <c r="E59" s="8">
        <f>F$9</f>
        <v>80</v>
      </c>
      <c r="F59" s="15">
        <f>(1+_xlfn.XLOOKUP($D$56,$F$33:$H$33,$F$34:$H$34))^9</f>
        <v>1.045910579145064</v>
      </c>
      <c r="G59" s="15">
        <f>(1+_xlfn.XLOOKUP($D$56,$F$33:$H$33,$F$37:$H$37))^9</f>
        <v>1.3047731838292445</v>
      </c>
      <c r="H59" s="22">
        <f>('1_Inputs&amp;Hyp'!F59/'1_Inputs&amp;Hyp'!F57)*'1_Inputs&amp;Hyp'!F62</f>
        <v>5.3215144230769225</v>
      </c>
      <c r="I59" s="8">
        <f>H$9*F59*G59+G$9*H59</f>
        <v>351.17431939385239</v>
      </c>
      <c r="J59" s="15">
        <f>_xlfn.XLOOKUP($D$56,$F$33:$H$33,$F$40:$H$40)</f>
        <v>0.05</v>
      </c>
      <c r="K59" s="8">
        <f t="shared" ref="K59:K66" si="2">I59*J59</f>
        <v>17.558715969692621</v>
      </c>
      <c r="L59" s="8">
        <f>I59+K59</f>
        <v>368.73303536354501</v>
      </c>
      <c r="M59" s="15">
        <f t="shared" ref="M59:M64" si="3">_xlfn.XLOOKUP($D$56,$F$33:$H$33,$F$46:$H$46)</f>
        <v>1</v>
      </c>
      <c r="N59" s="15">
        <f>_xlfn.XLOOKUP($D$56,$F$33:$H$33,$F$49:$H$49)</f>
        <v>0.25</v>
      </c>
      <c r="O59" s="8">
        <f>I59*M59+K59*N59</f>
        <v>355.56399838627556</v>
      </c>
      <c r="P59" s="4">
        <f>O59/1000</f>
        <v>0.35556399838627556</v>
      </c>
      <c r="R59" s="68">
        <f>O59</f>
        <v>355.56399838627556</v>
      </c>
    </row>
    <row r="60" spans="2:18">
      <c r="B60" s="1" t="s">
        <v>112</v>
      </c>
      <c r="C60" s="1" t="s">
        <v>158</v>
      </c>
      <c r="D60" s="2" t="s">
        <v>147</v>
      </c>
      <c r="E60" s="8">
        <f>F$10</f>
        <v>20</v>
      </c>
      <c r="F60" s="36">
        <f>(1+_xlfn.XLOOKUP($D$56,$F$33:$H$33,$F$34:$H$34))^9</f>
        <v>1.045910579145064</v>
      </c>
      <c r="G60" s="36">
        <f>(1+_xlfn.XLOOKUP($D$56,$F$33:$H$33,$F$37:$H$37))^9</f>
        <v>1.3047731838292445</v>
      </c>
      <c r="H60" s="29">
        <v>1</v>
      </c>
      <c r="I60" s="8">
        <f>H$10*F60*G60+G$10*H60</f>
        <v>27.293521527035882</v>
      </c>
      <c r="J60" s="36">
        <f>_xlfn.XLOOKUP($D$56,$F$33:$H$33,$F$40:$H$40)</f>
        <v>0.05</v>
      </c>
      <c r="K60" s="8">
        <f t="shared" si="2"/>
        <v>1.3646760763517942</v>
      </c>
      <c r="L60" s="8">
        <f t="shared" ref="L60:L66" si="4">I60+K60</f>
        <v>28.658197603387677</v>
      </c>
      <c r="M60" s="36">
        <f t="shared" si="3"/>
        <v>1</v>
      </c>
      <c r="N60" s="36">
        <f>_xlfn.XLOOKUP($D$56,$F$33:$H$33,$F$49:$H$49)</f>
        <v>0.25</v>
      </c>
      <c r="O60" s="8">
        <f t="shared" ref="O60:O66" si="5">I60*M60+K60*N60</f>
        <v>27.634690546123831</v>
      </c>
      <c r="P60" s="4">
        <f t="shared" ref="P60:P66" si="6">O60/1000</f>
        <v>2.763469054612383E-2</v>
      </c>
      <c r="R60" s="69">
        <f>O60+O61+O62</f>
        <v>156.46655495130983</v>
      </c>
    </row>
    <row r="61" spans="2:18">
      <c r="B61" s="1" t="s">
        <v>112</v>
      </c>
      <c r="C61" s="1" t="s">
        <v>158</v>
      </c>
      <c r="D61" s="2" t="s">
        <v>142</v>
      </c>
      <c r="E61" s="8">
        <f>F$11</f>
        <v>10</v>
      </c>
      <c r="F61" s="36">
        <f>(1+_xlfn.XLOOKUP($D$56,$F$33:$H$33,$F$34:$H$34))^9</f>
        <v>1.045910579145064</v>
      </c>
      <c r="G61" s="36">
        <f>(1+_xlfn.XLOOKUP($D$56,$F$33:$H$33,$F$37:$H$37))^9</f>
        <v>1.3047731838292445</v>
      </c>
      <c r="H61" s="70">
        <f>(1+_xlfn.XLOOKUP(D56,'1_Inputs&amp;Hyp'!$F$72:$H$72,'1_Inputs&amp;Hyp'!$F$74:$H$74))^9</f>
        <v>1.9172386624788014</v>
      </c>
      <c r="I61" s="8">
        <f>H$11*F61*G61+G$11*H61</f>
        <v>18.067261452533998</v>
      </c>
      <c r="J61" s="36">
        <f>_xlfn.XLOOKUP($D$56,$F$33:$H$33,$F$40:$H$40)</f>
        <v>0.05</v>
      </c>
      <c r="K61" s="8">
        <f>I61*J61</f>
        <v>0.9033630726266999</v>
      </c>
      <c r="L61" s="8">
        <f t="shared" si="4"/>
        <v>18.970624525160698</v>
      </c>
      <c r="M61" s="36">
        <f t="shared" si="3"/>
        <v>1</v>
      </c>
      <c r="N61" s="36">
        <f>_xlfn.XLOOKUP($D$56,$F$33:$H$33,$F$49:$H$49)</f>
        <v>0.25</v>
      </c>
      <c r="O61" s="8">
        <f t="shared" si="5"/>
        <v>18.293102220690674</v>
      </c>
      <c r="P61" s="4">
        <f t="shared" si="6"/>
        <v>1.8293102220690673E-2</v>
      </c>
      <c r="R61" s="68">
        <f>O63</f>
        <v>125.65758549425978</v>
      </c>
    </row>
    <row r="62" spans="2:18">
      <c r="B62" s="1" t="s">
        <v>112</v>
      </c>
      <c r="C62" s="1" t="s">
        <v>158</v>
      </c>
      <c r="D62" s="2" t="s">
        <v>14</v>
      </c>
      <c r="E62" s="8">
        <f>F$12</f>
        <v>80</v>
      </c>
      <c r="F62" s="15">
        <f>(1+_xlfn.XLOOKUP($D$56,$F$33:$H$33,$F$34:$H$34))^9</f>
        <v>1.045910579145064</v>
      </c>
      <c r="G62" s="15">
        <f>(1+_xlfn.XLOOKUP($D$56,$F$33:$H$33,$F$37:$H$37))^9</f>
        <v>1.3047731838292445</v>
      </c>
      <c r="H62" s="29">
        <v>1</v>
      </c>
      <c r="I62" s="8">
        <f>H$12*F62*G62+G$12*H62</f>
        <v>109.17408610814353</v>
      </c>
      <c r="J62" s="15">
        <f>_xlfn.XLOOKUP($D$56,$F$33:$H$33,$F$40:$H$40)</f>
        <v>0.05</v>
      </c>
      <c r="K62" s="8">
        <f t="shared" si="2"/>
        <v>5.4587043054071769</v>
      </c>
      <c r="L62" s="8">
        <f t="shared" si="4"/>
        <v>114.63279041355071</v>
      </c>
      <c r="M62" s="15">
        <f t="shared" si="3"/>
        <v>1</v>
      </c>
      <c r="N62" s="15">
        <f>_xlfn.XLOOKUP($D$56,$F$33:$H$33,$F$49:$H$49)</f>
        <v>0.25</v>
      </c>
      <c r="O62" s="8">
        <f t="shared" si="5"/>
        <v>110.53876218449533</v>
      </c>
      <c r="P62" s="4">
        <f t="shared" si="6"/>
        <v>0.11053876218449532</v>
      </c>
      <c r="R62" s="68">
        <f t="shared" ref="R62:R64" si="7">O64</f>
        <v>219.43991307736849</v>
      </c>
    </row>
    <row r="63" spans="2:18">
      <c r="B63" s="1" t="s">
        <v>112</v>
      </c>
      <c r="C63" s="1" t="s">
        <v>158</v>
      </c>
      <c r="D63" s="2" t="s">
        <v>15</v>
      </c>
      <c r="E63" s="8">
        <f>F$13</f>
        <v>80</v>
      </c>
      <c r="F63" s="36">
        <f>(1+_xlfn.XLOOKUP(D56,'1_Inputs&amp;Hyp'!$F$66:$H$66,'1_Inputs&amp;Hyp'!$F$67:$H$67))^9</f>
        <v>1</v>
      </c>
      <c r="G63" s="36">
        <f>(1+_xlfn.XLOOKUP($D$56,$F$33:$H$33,$F$37:$H$37))^9</f>
        <v>1.3047731838292445</v>
      </c>
      <c r="H63" s="22">
        <f>(1+_xlfn.XLOOKUP(D56,'1_Inputs&amp;Hyp'!$F$66:$H$66,'1_Inputs&amp;Hyp'!$F$68:$H$68))^9</f>
        <v>1.5513282159785158</v>
      </c>
      <c r="I63" s="8">
        <f>H$13*F63*G63+G$13*H63</f>
        <v>124.10625727828126</v>
      </c>
      <c r="J63" s="15">
        <f>_xlfn.XLOOKUP($D$56,$F$33:$H$33,$F$40:$H$40)</f>
        <v>0.05</v>
      </c>
      <c r="K63" s="8">
        <f t="shared" si="2"/>
        <v>6.2053128639140631</v>
      </c>
      <c r="L63" s="8">
        <f t="shared" si="4"/>
        <v>130.31157014219534</v>
      </c>
      <c r="M63" s="15">
        <f t="shared" si="3"/>
        <v>1</v>
      </c>
      <c r="N63" s="15">
        <f>_xlfn.XLOOKUP($D$56,$F$33:$H$33,$F$49:$H$49)</f>
        <v>0.25</v>
      </c>
      <c r="O63" s="8">
        <f t="shared" si="5"/>
        <v>125.65758549425978</v>
      </c>
      <c r="P63" s="4">
        <f t="shared" si="6"/>
        <v>0.12565758549425979</v>
      </c>
      <c r="R63" s="68">
        <f t="shared" si="7"/>
        <v>122.12029683810377</v>
      </c>
    </row>
    <row r="64" spans="2:18">
      <c r="B64" s="1" t="s">
        <v>112</v>
      </c>
      <c r="C64" s="1" t="s">
        <v>157</v>
      </c>
      <c r="D64" s="2" t="s">
        <v>96</v>
      </c>
      <c r="E64" s="8">
        <f>F$14</f>
        <v>160</v>
      </c>
      <c r="F64" s="15">
        <f>(1+_xlfn.XLOOKUP($D$56,$F$33:$H$33,$F$36:$H$36))^9</f>
        <v>1.045910579145064</v>
      </c>
      <c r="G64" s="15">
        <f>(1+_xlfn.XLOOKUP($D$56,$F$33:$H$33,$F$39:$H$39))^9</f>
        <v>1.3047731838292445</v>
      </c>
      <c r="H64" s="29">
        <v>1</v>
      </c>
      <c r="I64" s="8">
        <f>H$14*F64*G64+G$14*H64</f>
        <v>218.34817221628705</v>
      </c>
      <c r="J64" s="15">
        <f>_xlfn.XLOOKUP($D$56,$F$33:$H$33,$F$42:$H$42)</f>
        <v>0.05</v>
      </c>
      <c r="K64" s="8">
        <f t="shared" si="2"/>
        <v>10.917408610814354</v>
      </c>
      <c r="L64" s="8">
        <f t="shared" si="4"/>
        <v>229.26558082710142</v>
      </c>
      <c r="M64" s="15">
        <f t="shared" si="3"/>
        <v>1</v>
      </c>
      <c r="N64" s="15">
        <f>_xlfn.XLOOKUP($D$56,$F$33:$H$33,$F$51:$H$51)</f>
        <v>0.1</v>
      </c>
      <c r="O64" s="8">
        <f t="shared" si="5"/>
        <v>219.43991307736849</v>
      </c>
      <c r="P64" s="4">
        <f t="shared" si="6"/>
        <v>0.21943991307736849</v>
      </c>
      <c r="R64" s="68">
        <f t="shared" si="7"/>
        <v>240.38496149721584</v>
      </c>
    </row>
    <row r="65" spans="2:18">
      <c r="B65" s="1" t="s">
        <v>112</v>
      </c>
      <c r="C65" s="1" t="s">
        <v>157</v>
      </c>
      <c r="D65" s="2" t="s">
        <v>17</v>
      </c>
      <c r="E65" s="8">
        <f>F$15</f>
        <v>362.72</v>
      </c>
      <c r="F65" s="15">
        <f>(1+_xlfn.XLOOKUP($D$56,$F$33:$H$33,$F$35:$H$35))^9</f>
        <v>1.045910579145064</v>
      </c>
      <c r="G65" s="15">
        <f>(1+_xlfn.XLOOKUP($D$56,$F$33:$H$33,$F$38:$H$38))^9</f>
        <v>1.5513282159785158</v>
      </c>
      <c r="H65" s="29">
        <v>1</v>
      </c>
      <c r="I65" s="8">
        <f>H$15*F65*G65+G$15*H65</f>
        <v>588.53155102700612</v>
      </c>
      <c r="J65" s="15">
        <f>_xlfn.XLOOKUP($D$56,$F$33:$H$33,$F$41:$H$41)</f>
        <v>0.05</v>
      </c>
      <c r="K65" s="8">
        <f t="shared" si="2"/>
        <v>29.426577551350306</v>
      </c>
      <c r="L65" s="8">
        <f t="shared" si="4"/>
        <v>617.95812857835642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5"/>
        <v>122.12029683810377</v>
      </c>
      <c r="P65" s="4">
        <f t="shared" si="6"/>
        <v>0.12212029683810377</v>
      </c>
      <c r="R65" s="68"/>
    </row>
    <row r="66" spans="2:18">
      <c r="B66" s="1" t="s">
        <v>112</v>
      </c>
      <c r="C66" s="1" t="s">
        <v>157</v>
      </c>
      <c r="D66" s="2" t="s">
        <v>20</v>
      </c>
      <c r="E66" s="8">
        <f>F$16</f>
        <v>1677.6</v>
      </c>
      <c r="F66" s="15">
        <f>(1+_xlfn.XLOOKUP($D$56,$F$33:$H$33,$F$36:$H$36))^9</f>
        <v>1.045910579145064</v>
      </c>
      <c r="G66" s="15">
        <f>(1+_xlfn.XLOOKUP($D$56,$F$33:$H$33,$F$39:$H$39))^9</f>
        <v>1.3047731838292445</v>
      </c>
      <c r="H66" s="29">
        <v>1</v>
      </c>
      <c r="I66" s="8">
        <f>H$16*F66*G66+G$16*H66</f>
        <v>2289.3805856877698</v>
      </c>
      <c r="J66" s="15">
        <f>_xlfn.XLOOKUP($D$56,$F$33:$H$33,$F$42:$H$42)</f>
        <v>0.05</v>
      </c>
      <c r="K66" s="8">
        <f t="shared" si="2"/>
        <v>114.4690292843885</v>
      </c>
      <c r="L66" s="8">
        <f t="shared" si="4"/>
        <v>2403.8496149721582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5"/>
        <v>240.38496149721584</v>
      </c>
      <c r="P66" s="4">
        <f t="shared" si="6"/>
        <v>0.24038496149721583</v>
      </c>
      <c r="R66" s="68"/>
    </row>
    <row r="67" spans="2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2:18">
      <c r="B68" s="1" t="s">
        <v>112</v>
      </c>
      <c r="D68" s="5" t="s">
        <v>97</v>
      </c>
      <c r="E68" s="16">
        <f>SUM(E59:E66)</f>
        <v>2470.3199999999997</v>
      </c>
      <c r="F68" s="16"/>
      <c r="G68" s="16"/>
      <c r="H68" s="16"/>
      <c r="I68" s="16">
        <f>SUM(I59:I66)</f>
        <v>3726.0757546909099</v>
      </c>
      <c r="J68" s="16"/>
      <c r="K68" s="16">
        <f>SUM(K59:K66)</f>
        <v>186.30378773454549</v>
      </c>
      <c r="L68" s="16">
        <f>SUM(L59:L66)</f>
        <v>3912.3795424254554</v>
      </c>
      <c r="M68" s="16"/>
      <c r="N68" s="16"/>
      <c r="O68" s="16">
        <f>SUM(O59:O66)</f>
        <v>1219.6333102445333</v>
      </c>
      <c r="P68" s="16">
        <f>SUM(P59:P66)</f>
        <v>1.2196333102445334</v>
      </c>
    </row>
    <row r="69" spans="2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2:18" ht="16.2" customHeight="1">
      <c r="C71" s="3" t="s">
        <v>124</v>
      </c>
      <c r="D71" s="67" t="s">
        <v>125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</row>
    <row r="72" spans="2:18" ht="16.2" customHeight="1"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2:18" ht="15.6" thickBot="1">
      <c r="D73" s="21" t="s">
        <v>5</v>
      </c>
      <c r="E73" s="21" t="s">
        <v>4</v>
      </c>
      <c r="F73" s="21" t="s">
        <v>113</v>
      </c>
      <c r="G73" s="21" t="s">
        <v>114</v>
      </c>
      <c r="H73" s="21" t="s">
        <v>115</v>
      </c>
      <c r="I73" s="21" t="s">
        <v>116</v>
      </c>
      <c r="J73" s="21" t="s">
        <v>117</v>
      </c>
      <c r="K73" s="21" t="s">
        <v>118</v>
      </c>
      <c r="L73" s="21" t="s">
        <v>119</v>
      </c>
      <c r="M73" s="21" t="s">
        <v>120</v>
      </c>
      <c r="N73" s="21" t="s">
        <v>121</v>
      </c>
      <c r="O73" s="21" t="s">
        <v>122</v>
      </c>
      <c r="P73" s="21" t="s">
        <v>123</v>
      </c>
    </row>
    <row r="74" spans="2:18">
      <c r="B74" s="1" t="s">
        <v>125</v>
      </c>
      <c r="C74" s="1" t="s">
        <v>158</v>
      </c>
      <c r="D74" s="2" t="s">
        <v>9</v>
      </c>
      <c r="E74" s="8">
        <f>F$9</f>
        <v>80</v>
      </c>
      <c r="F74" s="15">
        <f>(1+_xlfn.XLOOKUP($D$71,$F$33:$H$33,$F$34:$H$34))^9</f>
        <v>1.045910579145064</v>
      </c>
      <c r="G74" s="15">
        <f>(1+_xlfn.XLOOKUP($D$71,$F$33:$H$33,$F$37:$H$37))^9</f>
        <v>1.9990046271044331</v>
      </c>
      <c r="H74" s="22">
        <f>('1_Inputs&amp;Hyp'!F59/'1_Inputs&amp;Hyp'!F57)*'1_Inputs&amp;Hyp'!F62</f>
        <v>5.3215144230769225</v>
      </c>
      <c r="I74" s="8">
        <f>H$9*F74*G74+G$9*H74</f>
        <v>364.85411895914558</v>
      </c>
      <c r="J74" s="15">
        <f>_xlfn.XLOOKUP($D$71,$F$33:$H$33,$F$40:$H$40)</f>
        <v>0.1</v>
      </c>
      <c r="K74" s="8">
        <f t="shared" ref="K74:K81" si="8">I74*J74</f>
        <v>36.485411895914559</v>
      </c>
      <c r="L74" s="8">
        <f>I74+K74</f>
        <v>401.33953085506016</v>
      </c>
      <c r="M74" s="15">
        <f t="shared" ref="M74:M79" si="9">_xlfn.XLOOKUP($D$71,$F$33:$H$33,$F$46:$H$46)</f>
        <v>1</v>
      </c>
      <c r="N74" s="15">
        <f>_xlfn.XLOOKUP($D$71,$F$33:$H$33,$F$49:$H$49)</f>
        <v>0.6</v>
      </c>
      <c r="O74" s="8">
        <f>I74*M74+K74*N74</f>
        <v>386.74536609669434</v>
      </c>
      <c r="P74" s="4">
        <f>O74/1000</f>
        <v>0.38674536609669435</v>
      </c>
      <c r="R74" s="68">
        <f>O74</f>
        <v>386.74536609669434</v>
      </c>
    </row>
    <row r="75" spans="2:18">
      <c r="B75" s="1" t="s">
        <v>125</v>
      </c>
      <c r="C75" s="1" t="s">
        <v>158</v>
      </c>
      <c r="D75" s="2" t="s">
        <v>147</v>
      </c>
      <c r="E75" s="8">
        <f>F$10</f>
        <v>20</v>
      </c>
      <c r="F75" s="36">
        <f>(1+_xlfn.XLOOKUP($D$71,$F$33:$H$33,$F$34:$H$34))^9</f>
        <v>1.045910579145064</v>
      </c>
      <c r="G75" s="36">
        <f>(1+_xlfn.XLOOKUP($D$71,$F$33:$H$33,$F$37:$H$37))^9</f>
        <v>1.9990046271044331</v>
      </c>
      <c r="H75" s="29">
        <v>1</v>
      </c>
      <c r="I75" s="8">
        <f>H$10*F75*G75+G$10*H75</f>
        <v>41.8156017449692</v>
      </c>
      <c r="J75" s="36">
        <f>_xlfn.XLOOKUP($D$71,$F$33:$H$33,$F$40:$H$40)</f>
        <v>0.1</v>
      </c>
      <c r="K75" s="8">
        <f t="shared" si="8"/>
        <v>4.1815601744969202</v>
      </c>
      <c r="L75" s="8">
        <f t="shared" ref="L75:L81" si="10">I75+K75</f>
        <v>45.997161919466123</v>
      </c>
      <c r="M75" s="36">
        <f t="shared" si="9"/>
        <v>1</v>
      </c>
      <c r="N75" s="36">
        <f>_xlfn.XLOOKUP($D$71,$F$33:$H$33,$F$49:$H$49)</f>
        <v>0.6</v>
      </c>
      <c r="O75" s="8">
        <f t="shared" ref="O75:O81" si="11">I75*M75+K75*N75</f>
        <v>44.324537849667351</v>
      </c>
      <c r="P75" s="4">
        <f t="shared" ref="P75:P81" si="12">O75/1000</f>
        <v>4.4324537849667348E-2</v>
      </c>
      <c r="R75" s="69">
        <f>O75+O76+O77</f>
        <v>249.57085089648109</v>
      </c>
    </row>
    <row r="76" spans="2:18">
      <c r="B76" s="1" t="s">
        <v>125</v>
      </c>
      <c r="C76" s="1" t="s">
        <v>158</v>
      </c>
      <c r="D76" s="2" t="s">
        <v>142</v>
      </c>
      <c r="E76" s="8">
        <f>F$11</f>
        <v>10</v>
      </c>
      <c r="F76" s="36">
        <f>(1+_xlfn.XLOOKUP($D$71,$F$33:$H$33,$F$34:$H$34))^9</f>
        <v>1.045910579145064</v>
      </c>
      <c r="G76" s="36">
        <f>(1+_xlfn.XLOOKUP($D$71,$F$33:$H$33,$F$37:$H$37))^9</f>
        <v>1.9990046271044331</v>
      </c>
      <c r="H76" s="70">
        <f>(1+_xlfn.XLOOKUP(D71,'1_Inputs&amp;Hyp'!$F$72:$H$72,'1_Inputs&amp;Hyp'!$F$74:$H$74))^9</f>
        <v>2.7730787574501883</v>
      </c>
      <c r="I76" s="8">
        <f>H$11*F76*G76+G$11*H76</f>
        <v>26.366190234098426</v>
      </c>
      <c r="J76" s="36">
        <f>_xlfn.XLOOKUP($D$71,$F$33:$H$33,$F$40:$H$40)</f>
        <v>0.1</v>
      </c>
      <c r="K76" s="8">
        <f t="shared" si="8"/>
        <v>2.6366190234098426</v>
      </c>
      <c r="L76" s="8">
        <f t="shared" si="10"/>
        <v>29.002809257508268</v>
      </c>
      <c r="M76" s="36">
        <f t="shared" si="9"/>
        <v>1</v>
      </c>
      <c r="N76" s="36">
        <f>_xlfn.XLOOKUP($D$71,$F$33:$H$33,$F$49:$H$49)</f>
        <v>0.6</v>
      </c>
      <c r="O76" s="8">
        <f t="shared" si="11"/>
        <v>27.948161648144332</v>
      </c>
      <c r="P76" s="4">
        <f t="shared" si="12"/>
        <v>2.7948161648144332E-2</v>
      </c>
      <c r="R76" s="68">
        <f>O78</f>
        <v>199.95396419680011</v>
      </c>
    </row>
    <row r="77" spans="2:18">
      <c r="B77" s="1" t="s">
        <v>125</v>
      </c>
      <c r="C77" s="1" t="s">
        <v>158</v>
      </c>
      <c r="D77" s="2" t="s">
        <v>14</v>
      </c>
      <c r="E77" s="8">
        <f>F$12</f>
        <v>80</v>
      </c>
      <c r="F77" s="36">
        <f>(1+_xlfn.XLOOKUP($D$71,$F$33:$H$33,$F$34:$H$34))^9</f>
        <v>1.045910579145064</v>
      </c>
      <c r="G77" s="36">
        <f>(1+_xlfn.XLOOKUP($D$71,$F$33:$H$33,$F$37:$H$37))^9</f>
        <v>1.9990046271044331</v>
      </c>
      <c r="H77" s="29">
        <v>1</v>
      </c>
      <c r="I77" s="8">
        <f>H$12*F77*G77+G$12*H77</f>
        <v>167.2624069798768</v>
      </c>
      <c r="J77" s="36">
        <f>_xlfn.XLOOKUP($D$71,$F$33:$H$33,$F$40:$H$40)</f>
        <v>0.1</v>
      </c>
      <c r="K77" s="8">
        <f t="shared" si="8"/>
        <v>16.726240697987681</v>
      </c>
      <c r="L77" s="8">
        <f t="shared" si="10"/>
        <v>183.98864767786449</v>
      </c>
      <c r="M77" s="36">
        <f t="shared" si="9"/>
        <v>1</v>
      </c>
      <c r="N77" s="36">
        <f>_xlfn.XLOOKUP($D$71,$F$33:$H$33,$F$49:$H$49)</f>
        <v>0.6</v>
      </c>
      <c r="O77" s="8">
        <f t="shared" si="11"/>
        <v>177.2981513986694</v>
      </c>
      <c r="P77" s="4">
        <f t="shared" si="12"/>
        <v>0.17729815139866939</v>
      </c>
      <c r="R77" s="68">
        <f t="shared" ref="R77:R79" si="13">O79</f>
        <v>344.5605583785462</v>
      </c>
    </row>
    <row r="78" spans="2:18">
      <c r="B78" s="1" t="s">
        <v>125</v>
      </c>
      <c r="C78" s="1" t="s">
        <v>158</v>
      </c>
      <c r="D78" s="2" t="s">
        <v>15</v>
      </c>
      <c r="E78" s="8">
        <f>F$13</f>
        <v>80</v>
      </c>
      <c r="F78" s="36">
        <f>(1+_xlfn.XLOOKUP(D71,'1_Inputs&amp;Hyp'!$F$66:$H$66,'1_Inputs&amp;Hyp'!$F$67:$H$67))^9</f>
        <v>1.045910579145064</v>
      </c>
      <c r="G78" s="36">
        <f>(1+_xlfn.XLOOKUP($D$71,$F$33:$H$33,$F$37:$H$37))^9</f>
        <v>1.9990046271044331</v>
      </c>
      <c r="H78" s="22">
        <f>(1+_xlfn.XLOOKUP(D71,'1_Inputs&amp;Hyp'!$F$66:$H$66,'1_Inputs&amp;Hyp'!$F$68:$H$68))^9</f>
        <v>2.3579476910000015</v>
      </c>
      <c r="I78" s="8">
        <f>H$13*F78*G78+G$13*H78</f>
        <v>188.63581528000012</v>
      </c>
      <c r="J78" s="15">
        <f>_xlfn.XLOOKUP($D$71,$F$33:$H$33,$F$40:$H$40)</f>
        <v>0.1</v>
      </c>
      <c r="K78" s="8">
        <f t="shared" si="8"/>
        <v>18.863581528000012</v>
      </c>
      <c r="L78" s="8">
        <f t="shared" si="10"/>
        <v>207.49939680800014</v>
      </c>
      <c r="M78" s="15">
        <f t="shared" si="9"/>
        <v>1</v>
      </c>
      <c r="N78" s="15">
        <f>_xlfn.XLOOKUP($D$71,$F$33:$H$33,$F$49:$H$49)</f>
        <v>0.6</v>
      </c>
      <c r="O78" s="8">
        <f>I78*M78+K78*N78</f>
        <v>199.95396419680011</v>
      </c>
      <c r="P78" s="4">
        <f>O78/1000</f>
        <v>0.19995396419680012</v>
      </c>
      <c r="R78" s="68">
        <f t="shared" si="13"/>
        <v>384.65260731963554</v>
      </c>
    </row>
    <row r="79" spans="2:18">
      <c r="B79" s="1" t="s">
        <v>125</v>
      </c>
      <c r="C79" s="1" t="s">
        <v>157</v>
      </c>
      <c r="D79" s="2" t="s">
        <v>96</v>
      </c>
      <c r="E79" s="8">
        <f>F$14</f>
        <v>160</v>
      </c>
      <c r="F79" s="15">
        <f>(1+_xlfn.XLOOKUP($D$71,$F$33:$H$33,$F$36:$H$36))^9</f>
        <v>1.045910579145064</v>
      </c>
      <c r="G79" s="15">
        <f>(1+_xlfn.XLOOKUP($D$71,$F$33:$H$33,$F$39:$H$39))^9</f>
        <v>1.9990046271044331</v>
      </c>
      <c r="H79" s="29">
        <v>1</v>
      </c>
      <c r="I79" s="8">
        <f>H$14*F79*G79+G$14*H79</f>
        <v>334.5248139597536</v>
      </c>
      <c r="J79" s="15">
        <f>_xlfn.XLOOKUP($D$71,$F$33:$H$33,$F$42:$H$42)</f>
        <v>0.1</v>
      </c>
      <c r="K79" s="8">
        <f t="shared" si="8"/>
        <v>33.452481395975362</v>
      </c>
      <c r="L79" s="8">
        <f t="shared" si="10"/>
        <v>367.97729535572898</v>
      </c>
      <c r="M79" s="15">
        <f t="shared" si="9"/>
        <v>1</v>
      </c>
      <c r="N79" s="15">
        <f>_xlfn.XLOOKUP($D$71,$F$33:$H$33,$F$51:$H$51)</f>
        <v>0.3</v>
      </c>
      <c r="O79" s="8">
        <f t="shared" si="11"/>
        <v>344.5605583785462</v>
      </c>
      <c r="P79" s="4">
        <f t="shared" si="12"/>
        <v>0.34456055837854621</v>
      </c>
      <c r="R79" s="68">
        <f t="shared" si="13"/>
        <v>806.72331510464403</v>
      </c>
    </row>
    <row r="80" spans="2:18">
      <c r="B80" s="1" t="s">
        <v>125</v>
      </c>
      <c r="C80" s="1" t="s">
        <v>157</v>
      </c>
      <c r="D80" s="2" t="s">
        <v>17</v>
      </c>
      <c r="E80" s="8">
        <f>F$15</f>
        <v>362.72</v>
      </c>
      <c r="F80" s="15">
        <f>(1+_xlfn.XLOOKUP($D$71,$F$33:$H$33,$F$35:$H$35))^9</f>
        <v>1.045910579145064</v>
      </c>
      <c r="G80" s="15">
        <f>(1+_xlfn.XLOOKUP($D$71,$F$33:$H$33,$F$38:$H$38))^9</f>
        <v>2.3579476910000015</v>
      </c>
      <c r="H80" s="29">
        <v>1</v>
      </c>
      <c r="I80" s="8">
        <f>H$15*F80*G80+G$15*H80</f>
        <v>894.54094725496645</v>
      </c>
      <c r="J80" s="15">
        <f>_xlfn.XLOOKUP($D$71,$F$33:$H$33,$F$41:$H$41)</f>
        <v>0.2</v>
      </c>
      <c r="K80" s="8">
        <f t="shared" si="8"/>
        <v>178.90818945099329</v>
      </c>
      <c r="L80" s="8">
        <f t="shared" si="10"/>
        <v>1073.4491367059597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1"/>
        <v>384.65260731963554</v>
      </c>
      <c r="P80" s="4">
        <f t="shared" si="12"/>
        <v>0.38465260731963552</v>
      </c>
    </row>
    <row r="81" spans="2:18">
      <c r="B81" s="1" t="s">
        <v>125</v>
      </c>
      <c r="C81" s="1" t="s">
        <v>157</v>
      </c>
      <c r="D81" s="2" t="s">
        <v>20</v>
      </c>
      <c r="E81" s="8">
        <f>F$16</f>
        <v>1677.6</v>
      </c>
      <c r="F81" s="15">
        <f>(1+_xlfn.XLOOKUP($D$71,$F$33:$H$33,$F$36:$H$36))^9</f>
        <v>1.045910579145064</v>
      </c>
      <c r="G81" s="15">
        <f>(1+_xlfn.XLOOKUP($D$71,$F$33:$H$33,$F$39:$H$39))^9</f>
        <v>1.9990046271044331</v>
      </c>
      <c r="H81" s="29">
        <v>1</v>
      </c>
      <c r="I81" s="8">
        <f>H$16*F81*G81+G$16*H81</f>
        <v>3507.4926743680171</v>
      </c>
      <c r="J81" s="15">
        <f>_xlfn.XLOOKUP($D$71,$F$33:$H$33,$F$42:$H$42)</f>
        <v>0.1</v>
      </c>
      <c r="K81" s="8">
        <f t="shared" si="8"/>
        <v>350.74926743680174</v>
      </c>
      <c r="L81" s="8">
        <f t="shared" si="10"/>
        <v>3858.2419418048189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1"/>
        <v>806.72331510464403</v>
      </c>
      <c r="P81" s="4">
        <f t="shared" si="12"/>
        <v>0.80672331510464401</v>
      </c>
    </row>
    <row r="82" spans="2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2:18">
      <c r="B83" s="1" t="s">
        <v>125</v>
      </c>
      <c r="D83" s="5" t="s">
        <v>97</v>
      </c>
      <c r="E83" s="16">
        <f>SUM(E74:E81)</f>
        <v>2470.3199999999997</v>
      </c>
      <c r="F83" s="16"/>
      <c r="G83" s="16"/>
      <c r="H83" s="16"/>
      <c r="I83" s="16">
        <f>SUM(I74:I81)</f>
        <v>5525.4925687808272</v>
      </c>
      <c r="J83" s="16"/>
      <c r="K83" s="16">
        <f>SUM(K74:K81)</f>
        <v>642.0033516035794</v>
      </c>
      <c r="L83" s="16">
        <f>SUM(L74:L81)</f>
        <v>6167.4959203844064</v>
      </c>
      <c r="M83" s="16"/>
      <c r="N83" s="16"/>
      <c r="O83" s="16">
        <f>SUM(O74:O81)</f>
        <v>2372.2066619928014</v>
      </c>
      <c r="P83" s="16">
        <f>SUM(P74:P81)</f>
        <v>2.3722066619928013</v>
      </c>
    </row>
    <row r="84" spans="2:18">
      <c r="D84" s="34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2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2:18" ht="16.2" customHeight="1">
      <c r="C86" s="3" t="s">
        <v>126</v>
      </c>
      <c r="D86" s="67" t="s">
        <v>32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</row>
    <row r="87" spans="2:18" ht="16.2" customHeight="1"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2:18" ht="15.6" thickBot="1">
      <c r="D88" s="21" t="s">
        <v>5</v>
      </c>
      <c r="E88" s="21" t="s">
        <v>4</v>
      </c>
      <c r="F88" s="21" t="s">
        <v>113</v>
      </c>
      <c r="G88" s="21" t="s">
        <v>114</v>
      </c>
      <c r="H88" s="21" t="s">
        <v>115</v>
      </c>
      <c r="I88" s="21" t="s">
        <v>116</v>
      </c>
      <c r="J88" s="21" t="s">
        <v>117</v>
      </c>
      <c r="K88" s="21" t="s">
        <v>118</v>
      </c>
      <c r="L88" s="21" t="s">
        <v>119</v>
      </c>
      <c r="M88" s="21" t="s">
        <v>120</v>
      </c>
      <c r="N88" s="21" t="s">
        <v>121</v>
      </c>
      <c r="O88" s="21" t="s">
        <v>122</v>
      </c>
      <c r="P88" s="21" t="s">
        <v>123</v>
      </c>
    </row>
    <row r="89" spans="2:18">
      <c r="B89" s="1" t="s">
        <v>159</v>
      </c>
      <c r="C89" s="1" t="s">
        <v>158</v>
      </c>
      <c r="D89" s="2" t="s">
        <v>9</v>
      </c>
      <c r="E89" s="8">
        <f>F$9</f>
        <v>80</v>
      </c>
      <c r="F89" s="15">
        <f>(1+_xlfn.XLOOKUP($D$86,$F$33:$H$33,$F$34:$H$34))^9</f>
        <v>1.045910579145064</v>
      </c>
      <c r="G89" s="15">
        <f>(1+_xlfn.XLOOKUP($D$86,$F$33:$H$33,$F$37:$H$37))^9</f>
        <v>2.3579476910000015</v>
      </c>
      <c r="H89" s="22">
        <f>('1_Inputs&amp;Hyp'!F59/'1_Inputs&amp;Hyp'!F57)*'1_Inputs&amp;Hyp'!F62</f>
        <v>5.3215144230769225</v>
      </c>
      <c r="I89" s="8">
        <f>H$9*F89*G89+G$9*H89</f>
        <v>371.92707599243454</v>
      </c>
      <c r="J89" s="15">
        <f>_xlfn.XLOOKUP($D$86,$F$33:$H$33,$F$40:$H$40)</f>
        <v>0.15</v>
      </c>
      <c r="K89" s="8">
        <f t="shared" ref="K89:K96" si="14">I89*J89</f>
        <v>55.789061398865179</v>
      </c>
      <c r="L89" s="8">
        <f>I89+K89</f>
        <v>427.7161373912997</v>
      </c>
      <c r="M89" s="15">
        <f t="shared" ref="M89:M94" si="15">_xlfn.XLOOKUP($D$86,$F$33:$H$33,$F$46:$H$46)</f>
        <v>1</v>
      </c>
      <c r="N89" s="15">
        <f>_xlfn.XLOOKUP($D$86,$F$33:$H$33,$F$49:$H$49)</f>
        <v>1</v>
      </c>
      <c r="O89" s="8">
        <f>I89*M89+K89*N89</f>
        <v>427.7161373912997</v>
      </c>
      <c r="P89" s="4">
        <f>O89/1000</f>
        <v>0.42771613739129971</v>
      </c>
      <c r="R89" s="68">
        <f>O89</f>
        <v>427.7161373912997</v>
      </c>
    </row>
    <row r="90" spans="2:18">
      <c r="B90" s="1" t="s">
        <v>159</v>
      </c>
      <c r="C90" s="1" t="s">
        <v>158</v>
      </c>
      <c r="D90" s="2" t="s">
        <v>147</v>
      </c>
      <c r="E90" s="8">
        <f>F$10</f>
        <v>20</v>
      </c>
      <c r="F90" s="36">
        <f>(1+_xlfn.XLOOKUP($D$86,$F$33:$H$33,$F$34:$H$34))^9</f>
        <v>1.045910579145064</v>
      </c>
      <c r="G90" s="36">
        <f>(1+_xlfn.XLOOKUP($D$86,$F$33:$H$33,$F$37:$H$37))^9</f>
        <v>2.3579476910000015</v>
      </c>
      <c r="H90" s="29">
        <v>1</v>
      </c>
      <c r="I90" s="8">
        <f>H$10*F90*G90+G$10*H90</f>
        <v>49.324048701751558</v>
      </c>
      <c r="J90" s="36">
        <f>_xlfn.XLOOKUP($D$86,$F$33:$H$33,$F$40:$H$40)</f>
        <v>0.15</v>
      </c>
      <c r="K90" s="8">
        <f t="shared" si="14"/>
        <v>7.3986073052627335</v>
      </c>
      <c r="L90" s="8">
        <f t="shared" ref="L90:L96" si="16">I90+K90</f>
        <v>56.722656007014294</v>
      </c>
      <c r="M90" s="36">
        <f t="shared" si="15"/>
        <v>1</v>
      </c>
      <c r="N90" s="36">
        <f>_xlfn.XLOOKUP($D$86,$F$33:$H$33,$F$49:$H$49)</f>
        <v>1</v>
      </c>
      <c r="O90" s="8">
        <f t="shared" ref="O90:O92" si="17">I90*M90+K90*N90</f>
        <v>56.722656007014294</v>
      </c>
      <c r="P90" s="4">
        <f t="shared" ref="P90:P96" si="18">O90/1000</f>
        <v>5.6722656007014295E-2</v>
      </c>
      <c r="R90" s="69">
        <f>O90+O91+O92</f>
        <v>357.83088712747212</v>
      </c>
    </row>
    <row r="91" spans="2:18">
      <c r="B91" s="1" t="s">
        <v>159</v>
      </c>
      <c r="C91" s="1" t="s">
        <v>158</v>
      </c>
      <c r="D91" s="2" t="s">
        <v>142</v>
      </c>
      <c r="E91" s="8">
        <f>F$11</f>
        <v>10</v>
      </c>
      <c r="F91" s="36">
        <f>(1+_xlfn.XLOOKUP($D$86,$F$33:$H$33,$F$34:$H$34))^9</f>
        <v>1.045910579145064</v>
      </c>
      <c r="G91" s="36">
        <f>(1+_xlfn.XLOOKUP($D$86,$F$33:$H$33,$F$37:$H$37))^9</f>
        <v>2.3579476910000015</v>
      </c>
      <c r="H91" s="70">
        <f>(1+_xlfn.XLOOKUP(D86,'1_Inputs&amp;Hyp'!$F$72:$H$72,'1_Inputs&amp;Hyp'!$F$74:$H$74))^9</f>
        <v>7.4505805969238281</v>
      </c>
      <c r="I91" s="8">
        <f>H$11*F91*G91+G$11*H91</f>
        <v>64.537049645565787</v>
      </c>
      <c r="J91" s="36">
        <f>_xlfn.XLOOKUP($D$86,$F$33:$H$33,$F$40:$H$40)</f>
        <v>0.15</v>
      </c>
      <c r="K91" s="8">
        <f t="shared" si="14"/>
        <v>9.6805574468348681</v>
      </c>
      <c r="L91" s="8">
        <f t="shared" si="16"/>
        <v>74.217607092400655</v>
      </c>
      <c r="M91" s="36">
        <f t="shared" si="15"/>
        <v>1</v>
      </c>
      <c r="N91" s="36">
        <f>_xlfn.XLOOKUP($D$86,$F$33:$H$33,$F$49:$H$49)</f>
        <v>1</v>
      </c>
      <c r="O91" s="8">
        <f t="shared" si="17"/>
        <v>74.217607092400655</v>
      </c>
      <c r="P91" s="4">
        <f t="shared" si="18"/>
        <v>7.4217607092400661E-2</v>
      </c>
      <c r="R91" s="68">
        <f>O93</f>
        <v>474.69979238399992</v>
      </c>
    </row>
    <row r="92" spans="2:18">
      <c r="B92" s="1" t="s">
        <v>159</v>
      </c>
      <c r="C92" s="1" t="s">
        <v>158</v>
      </c>
      <c r="D92" s="2" t="s">
        <v>14</v>
      </c>
      <c r="E92" s="8">
        <f>F$12</f>
        <v>80</v>
      </c>
      <c r="F92" s="15">
        <f>(1+_xlfn.XLOOKUP($D$86,$F$33:$H$33,$F$34:$H$34))^9</f>
        <v>1.045910579145064</v>
      </c>
      <c r="G92" s="15">
        <f>(1+_xlfn.XLOOKUP($D$86,$F$33:$H$33,$F$37:$H$37))^9</f>
        <v>2.3579476910000015</v>
      </c>
      <c r="H92" s="29">
        <v>1</v>
      </c>
      <c r="I92" s="8">
        <f>H$12*F92*G92+G$12*H92</f>
        <v>197.29619480700623</v>
      </c>
      <c r="J92" s="15">
        <f>_xlfn.XLOOKUP($D$86,$F$33:$H$33,$F$40:$H$40)</f>
        <v>0.15</v>
      </c>
      <c r="K92" s="8">
        <f t="shared" si="14"/>
        <v>29.594429221050934</v>
      </c>
      <c r="L92" s="8">
        <f t="shared" si="16"/>
        <v>226.89062402805718</v>
      </c>
      <c r="M92" s="15">
        <f t="shared" si="15"/>
        <v>1</v>
      </c>
      <c r="N92" s="15">
        <f>_xlfn.XLOOKUP($D$86,$F$33:$H$33,$F$49:$H$49)</f>
        <v>1</v>
      </c>
      <c r="O92" s="8">
        <f t="shared" si="17"/>
        <v>226.89062402805718</v>
      </c>
      <c r="P92" s="4">
        <f t="shared" si="18"/>
        <v>0.22689062402805718</v>
      </c>
      <c r="R92" s="68">
        <f t="shared" ref="R92:R94" si="19">O94</f>
        <v>430.10570467927357</v>
      </c>
    </row>
    <row r="93" spans="2:18">
      <c r="B93" s="1" t="s">
        <v>159</v>
      </c>
      <c r="C93" s="1" t="s">
        <v>158</v>
      </c>
      <c r="D93" s="2" t="s">
        <v>15</v>
      </c>
      <c r="E93" s="8">
        <f>F$13</f>
        <v>80</v>
      </c>
      <c r="F93" s="36">
        <f>(1+_xlfn.XLOOKUP(D86,'1_Inputs&amp;Hyp'!$F$66:$H$66,'1_Inputs&amp;Hyp'!$F$67:$H$67))^9</f>
        <v>1.0936852726843611</v>
      </c>
      <c r="G93" s="36">
        <f>(1+_xlfn.XLOOKUP($D$86,$F$33:$H$33,$F$37:$H$37))^9</f>
        <v>2.3579476910000015</v>
      </c>
      <c r="H93" s="22">
        <f>(1+_xlfn.XLOOKUP(D86,'1_Inputs&amp;Hyp'!$F$66:$H$66,'1_Inputs&amp;Hyp'!$F$68:$H$68))^9</f>
        <v>5.1597803519999994</v>
      </c>
      <c r="I93" s="8">
        <f>H$13*F93*G93+G$13*H93</f>
        <v>412.78242815999994</v>
      </c>
      <c r="J93" s="15">
        <f>_xlfn.XLOOKUP($D$86,$F$33:$H$33,$F$40:$H$40)</f>
        <v>0.15</v>
      </c>
      <c r="K93" s="8">
        <f t="shared" si="14"/>
        <v>61.917364223999989</v>
      </c>
      <c r="L93" s="8">
        <f t="shared" si="16"/>
        <v>474.69979238399992</v>
      </c>
      <c r="M93" s="15">
        <f t="shared" si="15"/>
        <v>1</v>
      </c>
      <c r="N93" s="15">
        <f>_xlfn.XLOOKUP($D$86,$F$33:$H$33,$F$49:$H$49)</f>
        <v>1</v>
      </c>
      <c r="O93" s="8">
        <f>I93*M93+K93*N93</f>
        <v>474.69979238399992</v>
      </c>
      <c r="P93" s="4">
        <f>O93/1000</f>
        <v>0.4746997923839999</v>
      </c>
      <c r="R93" s="68">
        <f t="shared" si="19"/>
        <v>967.57497709578217</v>
      </c>
    </row>
    <row r="94" spans="2:18">
      <c r="B94" s="1" t="s">
        <v>159</v>
      </c>
      <c r="C94" s="1" t="s">
        <v>157</v>
      </c>
      <c r="D94" s="2" t="s">
        <v>96</v>
      </c>
      <c r="E94" s="8">
        <f>F$14</f>
        <v>160</v>
      </c>
      <c r="F94" s="15">
        <f>(1+_xlfn.XLOOKUP($D$86,$F$33:$H$33,$F$36:$H$36))^9</f>
        <v>1.045910579145064</v>
      </c>
      <c r="G94" s="15">
        <f>(1+_xlfn.XLOOKUP($D$86,$F$33:$H$33,$F$39:$H$39))^9</f>
        <v>2.3579476910000015</v>
      </c>
      <c r="H94" s="29">
        <v>1</v>
      </c>
      <c r="I94" s="8">
        <f>H$14*F94*G94+G$14*H94</f>
        <v>394.59238961401246</v>
      </c>
      <c r="J94" s="15">
        <f>_xlfn.XLOOKUP($D$86,$F$33:$H$33,$F$42:$H$42)</f>
        <v>0.15</v>
      </c>
      <c r="K94" s="8">
        <f t="shared" si="14"/>
        <v>59.188858442101868</v>
      </c>
      <c r="L94" s="8">
        <f t="shared" si="16"/>
        <v>453.78124805611435</v>
      </c>
      <c r="M94" s="15">
        <f t="shared" si="15"/>
        <v>1</v>
      </c>
      <c r="N94" s="15">
        <f>_xlfn.XLOOKUP($D$86,$F$33:$H$33,$F$51:$H$51)</f>
        <v>0.6</v>
      </c>
      <c r="O94" s="8">
        <f t="shared" ref="O94:O96" si="20">I94*M94+K94*N94</f>
        <v>430.10570467927357</v>
      </c>
      <c r="P94" s="4">
        <f t="shared" si="18"/>
        <v>0.43010570467927356</v>
      </c>
      <c r="R94" s="68">
        <f t="shared" si="19"/>
        <v>1820.4125302452851</v>
      </c>
    </row>
    <row r="95" spans="2:18">
      <c r="B95" s="1" t="s">
        <v>159</v>
      </c>
      <c r="C95" s="1" t="s">
        <v>157</v>
      </c>
      <c r="D95" s="2" t="s">
        <v>17</v>
      </c>
      <c r="E95" s="8">
        <f>F$15</f>
        <v>362.72</v>
      </c>
      <c r="F95" s="15">
        <f>(1+_xlfn.XLOOKUP($D$86,$F$33:$H$33,$F$35:$H$35))^9</f>
        <v>1.045910579145064</v>
      </c>
      <c r="G95" s="15">
        <f>(1+_xlfn.XLOOKUP($D$86,$F$33:$H$33,$F$38:$H$38))^9</f>
        <v>3.5178762919199191</v>
      </c>
      <c r="H95" s="29">
        <v>1</v>
      </c>
      <c r="I95" s="8">
        <f>H$15*F95*G95+G$15*H95</f>
        <v>1334.5861753045272</v>
      </c>
      <c r="J95" s="15">
        <f>_xlfn.XLOOKUP($D$86,$F$33:$H$33,$F$41:$H$41)</f>
        <v>0.3</v>
      </c>
      <c r="K95" s="8">
        <f t="shared" si="14"/>
        <v>400.37585259135813</v>
      </c>
      <c r="L95" s="8">
        <f t="shared" si="16"/>
        <v>1734.9620278958853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967.57497709578217</v>
      </c>
      <c r="P95" s="4">
        <f t="shared" si="18"/>
        <v>0.96757497709578222</v>
      </c>
    </row>
    <row r="96" spans="2:18">
      <c r="B96" s="1" t="s">
        <v>159</v>
      </c>
      <c r="C96" s="1" t="s">
        <v>157</v>
      </c>
      <c r="D96" s="2" t="s">
        <v>20</v>
      </c>
      <c r="E96" s="8">
        <f>F$16</f>
        <v>1677.6</v>
      </c>
      <c r="F96" s="15">
        <f>(1+_xlfn.XLOOKUP($D$86,$F$33:$H$33,$F$36:$H$36))^9</f>
        <v>1.045910579145064</v>
      </c>
      <c r="G96" s="15">
        <f>(1+_xlfn.XLOOKUP($D$86,$F$33:$H$33,$F$39:$H$39))^9</f>
        <v>2.3579476910000015</v>
      </c>
      <c r="H96" s="29">
        <v>1</v>
      </c>
      <c r="I96" s="8">
        <f>H$16*F96*G96+G$16*H96</f>
        <v>4137.3012051029209</v>
      </c>
      <c r="J96" s="15">
        <f>_xlfn.XLOOKUP($D$86,$F$33:$H$33,$F$42:$H$42)</f>
        <v>0.15</v>
      </c>
      <c r="K96" s="8">
        <f t="shared" si="14"/>
        <v>620.59518076543816</v>
      </c>
      <c r="L96" s="8">
        <f t="shared" si="16"/>
        <v>4757.8963858683592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20"/>
        <v>1820.4125302452851</v>
      </c>
      <c r="P96" s="4">
        <f t="shared" si="18"/>
        <v>1.8204125302452852</v>
      </c>
    </row>
    <row r="97" spans="2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2:16">
      <c r="B98" s="1" t="s">
        <v>159</v>
      </c>
      <c r="D98" s="5" t="s">
        <v>97</v>
      </c>
      <c r="E98" s="16">
        <f>SUM(E89:E96)</f>
        <v>2470.3199999999997</v>
      </c>
      <c r="F98" s="16"/>
      <c r="G98" s="16"/>
      <c r="H98" s="16"/>
      <c r="I98" s="16">
        <f>SUM(I89:I96)</f>
        <v>6962.346567328219</v>
      </c>
      <c r="J98" s="16"/>
      <c r="K98" s="16">
        <f>SUM(K89:K96)</f>
        <v>1244.539911394912</v>
      </c>
      <c r="L98" s="16">
        <f>SUM(L89:L96)</f>
        <v>8206.8864787231305</v>
      </c>
      <c r="M98" s="16"/>
      <c r="N98" s="16"/>
      <c r="O98" s="16">
        <f>SUM(O89:O96)</f>
        <v>4478.3400289231131</v>
      </c>
      <c r="P98" s="16">
        <f>SUM(P89:P96)</f>
        <v>4.4783400289231121</v>
      </c>
    </row>
    <row r="99" spans="2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2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2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2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2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2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2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2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2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2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2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2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2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8"/>
  <sheetViews>
    <sheetView zoomScale="85" zoomScaleNormal="85" workbookViewId="0">
      <selection activeCell="C9" sqref="C9"/>
    </sheetView>
  </sheetViews>
  <sheetFormatPr defaultColWidth="8.69921875" defaultRowHeight="15"/>
  <cols>
    <col min="1" max="1" width="8.69921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69921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5" t="s">
        <v>127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2:14">
      <c r="B3" s="66" t="s">
        <v>128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2" customHeight="1">
      <c r="B5" s="3" t="s">
        <v>129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2" customHeight="1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ht="15.6" thickBot="1">
      <c r="B7" s="21" t="s">
        <v>130</v>
      </c>
      <c r="C7" s="21" t="s">
        <v>131</v>
      </c>
      <c r="D7" s="21" t="s">
        <v>132</v>
      </c>
      <c r="E7" s="21" t="s">
        <v>133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134</v>
      </c>
      <c r="C8" s="4">
        <f>'2_Calculs'!$F$17/10^3</f>
        <v>2.4703199999999996</v>
      </c>
      <c r="D8" s="4">
        <f>'2_Calculs'!$F$17/10^3</f>
        <v>2.4703199999999996</v>
      </c>
      <c r="E8" s="4">
        <f>'2_Calculs'!$F$17/10^3</f>
        <v>2.4703199999999996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135</v>
      </c>
      <c r="C9" s="4">
        <f>'2_Calculs'!L68/10^3</f>
        <v>3.9123795424254553</v>
      </c>
      <c r="D9" s="4">
        <f>'2_Calculs'!L83/10^3</f>
        <v>6.1674959203844066</v>
      </c>
      <c r="E9" s="4">
        <f>'2_Calculs'!L98/10^3</f>
        <v>8.2068864787231313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3" t="s">
        <v>136</v>
      </c>
      <c r="C10" s="33">
        <f>'2_Calculs'!P68</f>
        <v>1.2196333102445334</v>
      </c>
      <c r="D10" s="33">
        <f>'2_Calculs'!P83</f>
        <v>2.3722066619928013</v>
      </c>
      <c r="E10" s="33">
        <f>'2_Calculs'!P98</f>
        <v>4.4783400289231121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0" t="s">
        <v>137</v>
      </c>
      <c r="C12" s="32">
        <f>C10/C9</f>
        <v>0.31173696136045875</v>
      </c>
      <c r="D12" s="32">
        <f t="shared" ref="D12:E12" si="0">D10/D9</f>
        <v>0.38463043877375547</v>
      </c>
      <c r="E12" s="32">
        <f t="shared" si="0"/>
        <v>0.54568075731685706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0" t="s">
        <v>138</v>
      </c>
      <c r="C13" s="31">
        <f>C9/C8</f>
        <v>1.5837541461937952</v>
      </c>
      <c r="D13" s="31">
        <f t="shared" ref="D13:E13" si="1">D9/D8</f>
        <v>2.4966384599502929</v>
      </c>
      <c r="E13" s="31">
        <f t="shared" si="1"/>
        <v>3.3221956988257118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2" customHeight="1">
      <c r="B16" s="101" t="s">
        <v>139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</row>
    <row r="17" spans="2:14" ht="16.2" customHeight="1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ht="15.6" thickBot="1">
      <c r="B18" s="21" t="s">
        <v>5</v>
      </c>
      <c r="C18" s="21" t="s">
        <v>131</v>
      </c>
      <c r="D18" s="21" t="s">
        <v>132</v>
      </c>
      <c r="E18" s="21" t="s">
        <v>133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9</v>
      </c>
      <c r="C19" s="4">
        <f>'2_Calculs'!P59</f>
        <v>0.35556399838627556</v>
      </c>
      <c r="D19" s="4">
        <f>'2_Calculs'!P74</f>
        <v>0.38674536609669435</v>
      </c>
      <c r="E19" s="4">
        <f>'2_Calculs'!P89</f>
        <v>0.42771613739129971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147</v>
      </c>
      <c r="C20" s="4">
        <f>'2_Calculs'!P60</f>
        <v>2.763469054612383E-2</v>
      </c>
      <c r="D20" s="4">
        <f>'2_Calculs'!P75</f>
        <v>4.4324537849667348E-2</v>
      </c>
      <c r="E20" s="4">
        <f>'2_Calculs'!P90</f>
        <v>5.6722656007014295E-2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 t="s">
        <v>142</v>
      </c>
      <c r="C21" s="4">
        <f>'2_Calculs'!P61</f>
        <v>1.8293102220690673E-2</v>
      </c>
      <c r="D21" s="4">
        <f>'2_Calculs'!P76</f>
        <v>2.7948161648144332E-2</v>
      </c>
      <c r="E21" s="4">
        <f>'2_Calculs'!P91</f>
        <v>7.4217607092400661E-2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14</v>
      </c>
      <c r="C22" s="4">
        <f>'2_Calculs'!P62</f>
        <v>0.11053876218449532</v>
      </c>
      <c r="D22" s="4">
        <f>'2_Calculs'!P77</f>
        <v>0.17729815139866939</v>
      </c>
      <c r="E22" s="4">
        <f>'2_Calculs'!P92</f>
        <v>0.22689062402805718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15</v>
      </c>
      <c r="C23" s="4">
        <f>'2_Calculs'!P63</f>
        <v>0.12565758549425979</v>
      </c>
      <c r="D23" s="4">
        <f>'2_Calculs'!P78</f>
        <v>0.19995396419680012</v>
      </c>
      <c r="E23" s="4">
        <f>'2_Calculs'!P93</f>
        <v>0.4746997923839999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96</v>
      </c>
      <c r="C24" s="4">
        <f>'2_Calculs'!P64</f>
        <v>0.21943991307736849</v>
      </c>
      <c r="D24" s="4">
        <f>'2_Calculs'!P79</f>
        <v>0.34456055837854621</v>
      </c>
      <c r="E24" s="4">
        <f>'2_Calculs'!P94</f>
        <v>0.43010570467927356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2" t="s">
        <v>17</v>
      </c>
      <c r="C25" s="4">
        <f>'2_Calculs'!P65</f>
        <v>0.12212029683810377</v>
      </c>
      <c r="D25" s="4">
        <f>'2_Calculs'!P80</f>
        <v>0.38465260731963552</v>
      </c>
      <c r="E25" s="4">
        <f>'2_Calculs'!P95</f>
        <v>0.96757497709578222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2" t="s">
        <v>20</v>
      </c>
      <c r="C26" s="4">
        <f>'2_Calculs'!P66</f>
        <v>0.24038496149721583</v>
      </c>
      <c r="D26" s="4">
        <f>'2_Calculs'!P81</f>
        <v>0.80672331510464401</v>
      </c>
      <c r="E26" s="4">
        <f>'2_Calculs'!P96</f>
        <v>1.8204125302452852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5" t="s">
        <v>97</v>
      </c>
      <c r="C27" s="6">
        <f>SUM(C19:C26)</f>
        <v>1.2196333102445334</v>
      </c>
      <c r="D27" s="6">
        <f>SUM(D19:D26)</f>
        <v>2.3722066619928013</v>
      </c>
      <c r="E27" s="6">
        <f>SUM(E19:E26)</f>
        <v>4.4783400289231121</v>
      </c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37" t="s">
        <v>140</v>
      </c>
      <c r="C28" s="37" t="b">
        <f>C27=C10</f>
        <v>1</v>
      </c>
      <c r="D28" s="37" t="b">
        <f t="shared" ref="D28:E28" si="2">D27=D10</f>
        <v>1</v>
      </c>
      <c r="E28" s="37" t="b">
        <f t="shared" si="2"/>
        <v>1</v>
      </c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A066FCD1E3F438488297A6C42CAF9" ma:contentTypeVersion="4" ma:contentTypeDescription="Create a new document." ma:contentTypeScope="" ma:versionID="4ae0ce287ee18dd46314e40e6b0c436f">
  <xsd:schema xmlns:xsd="http://www.w3.org/2001/XMLSchema" xmlns:xs="http://www.w3.org/2001/XMLSchema" xmlns:p="http://schemas.microsoft.com/office/2006/metadata/properties" xmlns:ns2="c8e751d2-3d37-4167-80fa-a7ac4017bdce" targetNamespace="http://schemas.microsoft.com/office/2006/metadata/properties" ma:root="true" ma:fieldsID="3192de281dd5cec62b6f582edbf76bcb" ns2:_="">
    <xsd:import namespace="c8e751d2-3d37-4167-80fa-a7ac4017b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51d2-3d37-4167-80fa-a7ac401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11" nillable="true" ma:displayName="Translated Language" ma:internalName="TranslatedLang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8e751d2-3d37-4167-80fa-a7ac4017bdce" xsi:nil="true"/>
  </documentManagement>
</p:properties>
</file>

<file path=customXml/itemProps1.xml><?xml version="1.0" encoding="utf-8"?>
<ds:datastoreItem xmlns:ds="http://schemas.openxmlformats.org/officeDocument/2006/customXml" ds:itemID="{F8B76CD7-AEB7-447C-BD86-9BCCA38C0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51d2-3d37-4167-80fa-a7ac4017b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EFFB68-C21E-4BD7-B2CB-20E039E40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4C341-AD09-48CF-A9D3-1481B5BEA8A2}">
  <ds:schemaRefs>
    <ds:schemaRef ds:uri="http://schemas.microsoft.com/office/2006/metadata/properties"/>
    <ds:schemaRef ds:uri="http://schemas.microsoft.com/office/infopath/2007/PartnerControls"/>
    <ds:schemaRef ds:uri="c8e751d2-3d37-4167-80fa-a7ac4017bd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0_Sliding</vt:lpstr>
      <vt:lpstr>1_Inputs&amp;Hyp</vt:lpstr>
      <vt:lpstr>2_Calculs</vt:lpstr>
      <vt:lpstr>3_Output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Leveilley, Victoire</dc:creator>
  <cp:keywords/>
  <dc:description/>
  <cp:lastModifiedBy>Thivard, Theo</cp:lastModifiedBy>
  <cp:revision/>
  <dcterms:created xsi:type="dcterms:W3CDTF">2026-09-29T11:24:40Z</dcterms:created>
  <dcterms:modified xsi:type="dcterms:W3CDTF">2026-10-08T11:48:26Z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  <property fmtid="{D5CDD505-2E9C-101B-9397-08002B2CF9AE}" pid="10" name="ContentTypeId">
    <vt:lpwstr>0x010100E67A066FCD1E3F438488297A6C42CAF9</vt:lpwstr>
  </property>
</Properties>
</file>