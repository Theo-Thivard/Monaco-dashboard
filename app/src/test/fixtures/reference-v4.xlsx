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berger-my.sharepoint.com/personal/theo_thivard_rolandberger_com/Documents/Desktop/TMT/Dashboard/"/>
    </mc:Choice>
  </mc:AlternateContent>
  <xr:revisionPtr revIDLastSave="0" documentId="8_{C8753263-26FA-493D-8571-2820BD335B9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5" r:id="rId1"/>
    <sheet name="0_Sliding" sheetId="6" r:id="rId2"/>
    <sheet name="1_Inputs&amp;Hyp" sheetId="2" r:id="rId3"/>
    <sheet name="2_Calculs" sheetId="3" r:id="rId4"/>
    <sheet name="3_Output" sheetId="4" r:id="rId5"/>
  </sheets>
  <definedNames>
    <definedName name="______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d1" hidden="1">{#N/A,#N/A,FALSE,"bel";#N/A,#N/A,FALSE,"neth"}</definedName>
    <definedName name="____________d1_1" hidden="1">{#N/A,#N/A,FALSE,"bel";#N/A,#N/A,FALSE,"neth"}</definedName>
    <definedName name="______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_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_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d1" hidden="1">{#N/A,#N/A,FALSE,"bel";#N/A,#N/A,FALSE,"neth"}</definedName>
    <definedName name="______d1_1" hidden="1">{#N/A,#N/A,FALSE,"bel";#N/A,#N/A,FALSE,"neth"}</definedName>
    <definedName name="__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a1" hidden="1">{"mgmt forecast",#N/A,FALSE,"Mgmt Forecast";"dcf table",#N/A,FALSE,"Mgmt Forecast";"sensitivity",#N/A,FALSE,"Mgmt Forecast";"table inputs",#N/A,FALSE,"Mgmt Forecast";"calculations",#N/A,FALSE,"Mgmt Forecast"}</definedName>
    <definedName name="_____a2" hidden="1">{"mgmt forecast",#N/A,FALSE,"Mgmt Forecast";"dcf table",#N/A,FALSE,"Mgmt Forecast";"sensitivity",#N/A,FALSE,"Mgmt Forecast";"table inputs",#N/A,FALSE,"Mgmt Forecast";"calculations",#N/A,FALSE,"Mgmt Forecast"}</definedName>
    <definedName name="__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c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d1" hidden="1">{#N/A,#N/A,FALSE,"bel";#N/A,#N/A,FALSE,"neth"}</definedName>
    <definedName name="____d1_1" hidden="1">{#N/A,#N/A,FALSE,"bel";#N/A,#N/A,FALSE,"neth"}</definedName>
    <definedName name="__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a1" hidden="1">{"mgmt forecast",#N/A,FALSE,"Mgmt Forecast";"dcf table",#N/A,FALSE,"Mgmt Forecast";"sensitivity",#N/A,FALSE,"Mgmt Forecast";"table inputs",#N/A,FALSE,"Mgmt Forecast";"calculations",#N/A,FALSE,"Mgmt Forecast"}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thinkcellK2GAAAAAAAAAAAAAAAAFNM5VLAYVLZSDRKO6M5KSWCTLI" localSheetId="1" hidden="1">'0_Sliding'!$D$36:$E$42</definedName>
    <definedName name="___thinkcellK2GAAAAAAAAAAAAAAAAGF6KCZBM7ZK2PWNNNL6AUTYPUG" localSheetId="1" hidden="1">'0_Sliding'!$D$59:$E$63</definedName>
    <definedName name="___thinkcellK2GAAAAAAAAAAAAAAAALG4I7ZPRSP52DRWR2D7KPSJGHA" localSheetId="1" hidden="1">'0_Sliding'!$J$71:$N$80</definedName>
    <definedName name="___thinkcellK2GAAAAAAAAAAAAAAAAMEFSPOV7E5Y2FWJBRMTI3KUCXM" localSheetId="1" hidden="1">'0_Sliding'!$D$71:$H$80</definedName>
    <definedName name="___thinkcellK2GAAAAAAAAAAAAAAAANBEMZIEMDQI2PWT53DRYSG5CDG" localSheetId="1" hidden="1">'0_Sliding'!$D$28:$N$32</definedName>
    <definedName name="___thinkcellK2GAAAAAAAAAAAAAAAAORY7T7IZQ7ASITRM2UKBX6D3YW" localSheetId="1" hidden="1">'0_Sliding'!$D$50:$N$54</definedName>
    <definedName name="___thinkcellKSGAAAAAAAAAAAAAAAACLFCWLSHAB2KOQMNYM3DABDL2C" localSheetId="1" hidden="1">'0_Sliding'!$D$18:$H$21</definedName>
    <definedName name="___thinkcellKSGAAAAAAAAAAAAAAAAFDDNV55SC3TCIQEZ4QP7FXIRG4" localSheetId="1" hidden="1">'0_Sliding'!$D$8:$N$12</definedName>
    <definedName name="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d1" hidden="1">{#N/A,#N/A,FALSE,"bel";#N/A,#N/A,FALSE,"neth"}</definedName>
    <definedName name="__d1_1" hidden="1">{#N/A,#N/A,FALSE,"bel";#N/A,#N/A,FALSE,"neth"}</definedName>
    <definedName name="__o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o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5111cda8_STF_Fuss_1_CN1">#REF!</definedName>
    <definedName name="_5111cda8_STF_Gesamtsumme_1_CN1">#REF!</definedName>
    <definedName name="_5111cda8_STF_Gesamtsumme_1_CN2">#REF!</definedName>
    <definedName name="_5111cda8_STF_Koerper_1_CN1">#REF!</definedName>
    <definedName name="_5111cda8_STF_Koerper_1_CN3">#REF!</definedName>
    <definedName name="_5111cda8_STF_Koerper_1_CN4">#REF!</definedName>
    <definedName name="_5111cda8_STF_Koerper_1_CN5">#REF!</definedName>
    <definedName name="_5111cda8_STF_Koerper_1_CN6">#REF!</definedName>
    <definedName name="_5111cda8_STF_Koerper_1_CN7">#REF!</definedName>
    <definedName name="_5111cda8_STF_Koerper_1_CN8">#REF!</definedName>
    <definedName name="_5111cda8_STF_Tabellenkopf_1_CN1">#REF!</definedName>
    <definedName name="_5111cda8_STF_Titel_1_CN1">#REF!</definedName>
    <definedName name="_5111cda8_STF_Vorspalte_1_CN1">#REF!</definedName>
    <definedName name="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2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3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5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rt4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CST2006">#REF!</definedName>
    <definedName name="_CST2008">#REF!</definedName>
    <definedName name="_d1" hidden="1">{#N/A,#N/A,FALSE,"bel";#N/A,#N/A,FALSE,"neth"}</definedName>
    <definedName name="_d1_1" hidden="1">{#N/A,#N/A,FALSE,"bel";#N/A,#N/A,FALSE,"neth"}</definedName>
    <definedName name="_Order1" hidden="1">255</definedName>
    <definedName name="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q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8r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7irr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egression_Int" hidden="1">1</definedName>
    <definedName name="_TAB7">#REF!</definedName>
    <definedName name="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wr4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xlcn.LinkedTable_Tabelle1" hidden="1">#REF!</definedName>
    <definedName name="_xlcn.LinkedTable_Table11" hidden="1">#REF!</definedName>
    <definedName name="_xlcn.LinkedTable_Table111" hidden="1">#REF!</definedName>
    <definedName name="_xlcn.LinkedTable_Table121" hidden="1">#REF!</definedName>
    <definedName name="_xlcn.WorksheetConnection_082016ADJVALORISATIONDESSTOCKScopieajoutprixmanquants.xlsxTableau_APMTARP___Tarifs_par_Référence_et_fournisseur" hidden="1">#REF!</definedName>
    <definedName name="_xlcn.WorksheetConnection_20162017ITexpendituretracking.xlsxCapExAccrSpend1" hidden="1">#REF!</definedName>
    <definedName name="_xlcn.WorksheetConnection_20171120REAgentCommissionHistoricalv2.xlsbCCData1" hidden="1">#REF!</definedName>
    <definedName name="_xlcn.WorksheetConnection_BdDA1AR65741" hidden="1">#REF!</definedName>
    <definedName name="_xlcn.WorksheetConnection_DataBaseIntercosFY12B6L23481" hidden="1">#REF!</definedName>
    <definedName name="_xlcn.WorksheetConnection_DBITBudget2014V0.xlsxTableau131" hidden="1">#REF!</definedName>
    <definedName name="_xlcn.WorksheetConnection_MerchantA1DA38126" hidden="1">#REF!</definedName>
    <definedName name="_xlcn.WorksheetConnection_NewBizB25N271" hidden="1">#REF!</definedName>
    <definedName name="_xlcn.WorksheetConnection_OverduedebtorsH2J881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lcn.WorksheetConnection_ReportA11AP19694" hidden="1">#REF!</definedName>
    <definedName name="_xlcn.WorksheetConnection_SYNTHESEPROJETSA1AI2391" hidden="1">#REF!</definedName>
    <definedName name="_xlcn.WorksheetConnection_SYNTHESEPROJETSA1AK2391" hidden="1">#REF!</definedName>
    <definedName name="a" hidden="1">{"mgmt forecast",#N/A,FALSE,"Mgmt Forecast";"dcf table",#N/A,FALSE,"Mgmt Forecast";"sensitivity",#N/A,FALSE,"Mgmt Forecast";"table inputs",#N/A,FALSE,"Mgmt Forecast";"calculations",#N/A,FALSE,"Mgmt Forecast"}</definedName>
    <definedName name="aaaa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aaaaa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aaaaa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AccessDatabase" hidden="1">"S:\02_General_Programme_Management\5  Controlling\Business Case\Business Case Datenbank\BC_Auswertung.mdb"</definedName>
    <definedName name="aezeeeeeee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eeeeee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v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nj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nj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e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tahd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tahd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utomobi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utomobi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zrzar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zrzar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b">#N/A</definedName>
    <definedName name="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bébé">#REF!</definedName>
    <definedName name="blubb3" hidden="1">#N/A</definedName>
    <definedName name="c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ChoixTraçage">#REF!</definedName>
    <definedName name="CIQWBGuid" hidden="1">"3bfbc67a-e70e-4707-ba77-62599329f6c4"</definedName>
    <definedName name="COMPTE_D_EXPLOITATION_PAR_BRANCHE">#REF!</definedName>
    <definedName name="CST">#REF!</definedName>
    <definedName name="CST_2006">#REF!</definedName>
    <definedName name="D">{#N/A,#N/A,FALSE,"bel";#N/A,#N/A,FALSE,"neth"}</definedName>
    <definedName name="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_2" hidden="1">{#N/A,#N/A,FALSE,"bel";#N/A,#N/A,FALSE,"neth"}</definedName>
    <definedName name="_xlnm.Database">#REF!</definedName>
    <definedName name="DatesGraphiques">CHOOSE(TableauGraphique,#REF!,#REF!)</definedName>
    <definedName name="dcrut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crutu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da" hidden="1">Main.SAPF4Help()</definedName>
    <definedName name="df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A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bg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bg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gderzeer5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erzeer5z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sdgsdfgsdf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gsdgsdfgsdf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s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j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j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onnées_brutes">#REF!</definedName>
    <definedName name="Données_volume">#REF!</definedName>
    <definedName name="Données_volume_2">#REF!</definedName>
    <definedName name="Données_volume_3">#REF!</definedName>
    <definedName name="Données_volume_5">#REF!</definedName>
    <definedName name="Donnéesbrutes">#REF!</definedName>
    <definedName name="Donnéesbrutes_2">#REF!</definedName>
    <definedName name="Donnéesbrutes_3">#REF!</definedName>
    <definedName name="Donnéesbrutes_5">#REF!</definedName>
    <definedName name="DonnéesCNAM">#REF!</definedName>
    <definedName name="DonnéesCNAM_2">#REF!</definedName>
    <definedName name="DonnéesCNAM_3">#REF!</definedName>
    <definedName name="DonnéesCNAM_5">#REF!</definedName>
    <definedName name="DonnéesCVS">#REF!</definedName>
    <definedName name="DonnéesDemetra_CT">#REF!</definedName>
    <definedName name="DonnéesDemetra_CT_2">#REF!</definedName>
    <definedName name="DonnéesDemetra_CT_3">#REF!</definedName>
    <definedName name="DonnéesDemetra_CT_5">#REF!</definedName>
    <definedName name="dsgd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sgd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tzzk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tzzk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Inheiten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heiten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r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ergebni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gsdhh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dhh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hjfj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jfjg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jgtjt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gtjt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hjd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hjd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l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l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ra">"Graphique 2"</definedName>
    <definedName name="fsd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g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g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uaf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af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iil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uiil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zlf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zlf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ht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g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g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ghk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hkgh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jh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jh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kg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kg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raphiques">#REF!</definedName>
    <definedName name="gvh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gvh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h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GB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GB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imme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mmel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tfx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htfx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input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nput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opi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opi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"06/29/2017 16:45:33"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39514.4572685185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jdghgfh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1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_2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HTK">#REF!</definedName>
    <definedName name="j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j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k">CHOOSE([0]!ll,#REF!,#REF!)</definedName>
    <definedName name="KilométrageDébut">#REF!</definedName>
    <definedName name="kk">CHOOSE(TableauGraphique,#REF!,#REF!)</definedName>
    <definedName name="klk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klko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" hidden="1">{#N/A,#N/A,FALSE,"Z3 1,8i";#N/A,#N/A,FALSE,"Z3 1,9iS";#N/A,#N/A,FALSE,"Z3 2,8i";#N/A,#N/A,FALSE,"Z3 2,8i Coupé"}</definedName>
    <definedName name="l_1" hidden="1">{#N/A,#N/A,FALSE,"Z3 1,8i";#N/A,#N/A,FALSE,"Z3 1,9iS";#N/A,#N/A,FALSE,"Z3 2,8i";#N/A,#N/A,FALSE,"Z3 2,8i Coupé"}</definedName>
    <definedName name="lkj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kj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l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l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u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zu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lzu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norientierung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nbz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nbzu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mr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euernam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2" hidden="1">{#N/A,#N/A,FALSE,"Z3 1,8i";#N/A,#N/A,FALSE,"Z3 1,9iS";#N/A,#N/A,FALSE,"Z3 2,8i";#N/A,#N/A,FALSE,"Z3 2,8i Coupé"}</definedName>
    <definedName name="neuername2_1" hidden="1">{#N/A,#N/A,FALSE,"Z3 1,8i";#N/A,#N/A,FALSE,"Z3 1,9iS";#N/A,#N/A,FALSE,"Z3 2,8i";#N/A,#N/A,FALSE,"Z3 2,8i Coupé"}</definedName>
    <definedName name="Nico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cole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om">#REF!</definedName>
    <definedName name="NP">#REF!</definedName>
    <definedName name="NP_Description">#REF!</definedName>
    <definedName name="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öü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öü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ackage" hidden="1">Main.SAPF4Help()</definedName>
    <definedName name="poupou">#REF!</definedName>
    <definedName name="pp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pp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xlnm.Print_Area" hidden="1">#REF!</definedName>
    <definedName name="_xlnm.Print_Titles" hidden="1">#REF!</definedName>
    <definedName name="PT_commencerlarangée">ROW(INDEX(#REF!,MATCH("*",#REF!,0),1))+1</definedName>
    <definedName name="PT_rangéedextrémité">COUNTA(#REF!)+PT_commencerlarangée-3</definedName>
    <definedName name="rdzkkkkkr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dzkkkkkrk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ien">#REF!</definedName>
    <definedName name="rjrjk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rjk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z" hidden="1">{#N/A,#N/A,FALSE,"bel";#N/A,#N/A,FALSE,"neth"}</definedName>
    <definedName name="rjz_1" hidden="1">{#N/A,#N/A,FALSE,"bel";#N/A,#N/A,FALSE,"neth"}</definedName>
    <definedName name="rtjjs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tjjs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zkj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j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kkkkk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rzkkkkkk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s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EA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EA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hn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ne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PBEXhrIndnt" hidden="1">2</definedName>
    <definedName name="SAPBEXrevision" hidden="1">1</definedName>
    <definedName name="SAPBEXrevision_1" hidden="1">5</definedName>
    <definedName name="SAPBEXrevision_1_1" hidden="1">10</definedName>
    <definedName name="SAPBEXsysID" hidden="1">"UVP"</definedName>
    <definedName name="SAPBEXsysID_1" hidden="1">"HCP"</definedName>
    <definedName name="SAPBEXwbID" hidden="1">"3Q0DO0CDFWH315TPZ7V4KZG9T"</definedName>
    <definedName name="SAPBEXwbID_1" hidden="1">"47QGW46GWQUU82XQWNUMC26MH"</definedName>
    <definedName name="SAPFuncF4Help" hidden="1">Main.SAPF4Help()</definedName>
    <definedName name="sdf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d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fgd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DT">#REF!</definedName>
    <definedName name="S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ghh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h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rz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grz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hg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hggf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lkdf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dfj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ofo_Auto_GEZ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lver_num" hidden="1">0</definedName>
    <definedName name="solver_typ" hidden="1">1</definedName>
    <definedName name="solver_val" hidden="1">0</definedName>
    <definedName name="som">#REF!</definedName>
    <definedName name="Sommaire">#REF!</definedName>
    <definedName name="s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r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sss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sss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we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x" hidden="1">{#N/A,#N/A,FALSE,"Z3 1,8i";#N/A,#N/A,FALSE,"Z3 1,9iS";#N/A,#N/A,FALSE,"Z3 2,8i";#N/A,#N/A,FALSE,"Z3 2,8i Coupé"}</definedName>
    <definedName name="sx_1" hidden="1">{#N/A,#N/A,FALSE,"Z3 1,8i";#N/A,#N/A,FALSE,"Z3 1,9iS";#N/A,#N/A,FALSE,"Z3 2,8i";#N/A,#N/A,FALSE,"Z3 2,8i Coupé"}</definedName>
    <definedName name="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ableau">#REF!</definedName>
    <definedName name="TableauC1">#REF!</definedName>
    <definedName name="TableauC10">#REF!</definedName>
    <definedName name="TableauC11">#REF!</definedName>
    <definedName name="TableauC12">#REF!</definedName>
    <definedName name="TableauC13">#REF!</definedName>
    <definedName name="TableauC14">#REF!</definedName>
    <definedName name="TableauC15">#REF!</definedName>
    <definedName name="TableauC16">#REF!</definedName>
    <definedName name="TableauC17">#REF!</definedName>
    <definedName name="TableauC18">#REF!</definedName>
    <definedName name="TableauC19">#REF!</definedName>
    <definedName name="TableauC2">#REF!</definedName>
    <definedName name="TableauC20">#REF!</definedName>
    <definedName name="TableauC21">#REF!</definedName>
    <definedName name="TableauC22">#REF!</definedName>
    <definedName name="TableauC23">#REF!</definedName>
    <definedName name="TableauC24">#REF!</definedName>
    <definedName name="TableauC25">#REF!</definedName>
    <definedName name="TableauC26">#REF!</definedName>
    <definedName name="TableauC27">#REF!</definedName>
    <definedName name="TableauC28">#REF!</definedName>
    <definedName name="TableauC29">#REF!</definedName>
    <definedName name="TableauC3">#REF!</definedName>
    <definedName name="TableauC30">#REF!</definedName>
    <definedName name="TableauC31">#REF!</definedName>
    <definedName name="TableauC31a">#REF!</definedName>
    <definedName name="TableauC31b">#REF!</definedName>
    <definedName name="TableauC32">#REF!</definedName>
    <definedName name="TableauC33">#REF!</definedName>
    <definedName name="TableauC34">#REF!</definedName>
    <definedName name="TableauC35">#REF!</definedName>
    <definedName name="TableauC36">#REF!</definedName>
    <definedName name="TableauC37">#REF!</definedName>
    <definedName name="TableauC38">#REF!</definedName>
    <definedName name="TableauC38a">#REF!</definedName>
    <definedName name="TableauC39">#REF!</definedName>
    <definedName name="TableauC4">#REF!</definedName>
    <definedName name="TableauC40">#REF!</definedName>
    <definedName name="tableauC400">#REF!</definedName>
    <definedName name="TableauC41">#REF!</definedName>
    <definedName name="TableauC42">#REF!</definedName>
    <definedName name="TableauC43">#REF!</definedName>
    <definedName name="TableauC44">#REF!</definedName>
    <definedName name="TableauC44a">#REF!</definedName>
    <definedName name="TableauC45">#REF!</definedName>
    <definedName name="TableauC46">#REF!</definedName>
    <definedName name="TableauC47">#REF!</definedName>
    <definedName name="TableauC48">#REF!</definedName>
    <definedName name="TableauC49">#REF!</definedName>
    <definedName name="TableauC5">#REF!</definedName>
    <definedName name="TableauC50">#REF!</definedName>
    <definedName name="TableauC51">#REF!</definedName>
    <definedName name="TableauC52">#REF!</definedName>
    <definedName name="TableauC53">#REF!</definedName>
    <definedName name="TableauC54">#REF!</definedName>
    <definedName name="TableauC55">#REF!</definedName>
    <definedName name="TableauC6">#REF!</definedName>
    <definedName name="TableauC7">#REF!</definedName>
    <definedName name="TableauC8">#REF!</definedName>
    <definedName name="TableauC9">#REF!</definedName>
    <definedName name="TableauGraphique">IF(ChoixTraçage="ENTRETIEN",1,2)</definedName>
    <definedName name="TableauH1">#REF!</definedName>
    <definedName name="TableauH10">#REF!</definedName>
    <definedName name="TableauH11">#REF!</definedName>
    <definedName name="TableauH12">#REF!</definedName>
    <definedName name="TableauH12a">#REF!</definedName>
    <definedName name="TableauH12b">#REF!</definedName>
    <definedName name="TableauH12c">#REF!</definedName>
    <definedName name="TableauH12d">#REF!</definedName>
    <definedName name="TableauH13">#REF!</definedName>
    <definedName name="TableauH14">#REF!</definedName>
    <definedName name="TableauH15">#REF!</definedName>
    <definedName name="TableauH16">#REF!</definedName>
    <definedName name="TableauH17">#REF!</definedName>
    <definedName name="TableauH18">#REF!</definedName>
    <definedName name="TableauH18a">#REF!</definedName>
    <definedName name="TableauH18b">#REF!</definedName>
    <definedName name="TableauH19">#REF!</definedName>
    <definedName name="TableauH2">#REF!</definedName>
    <definedName name="TableauH20">#REF!</definedName>
    <definedName name="TableauH20a">#REF!</definedName>
    <definedName name="TableauH20b">#REF!</definedName>
    <definedName name="TableauH21">#REF!</definedName>
    <definedName name="TableauH21a">#REF!</definedName>
    <definedName name="TableauH21b">#REF!</definedName>
    <definedName name="TableauH21c">#REF!</definedName>
    <definedName name="TableauH22">#REF!</definedName>
    <definedName name="TableauH22a">#REF!</definedName>
    <definedName name="TableauH23">#REF!</definedName>
    <definedName name="tableauH23a">#REF!</definedName>
    <definedName name="TableauH23b">#REF!</definedName>
    <definedName name="TableauH23c">#REF!</definedName>
    <definedName name="TableauH23c1">#REF!</definedName>
    <definedName name="TableauH23d">#REF!</definedName>
    <definedName name="TableauH23e">#REF!</definedName>
    <definedName name="TableauH23f">#REF!</definedName>
    <definedName name="TableauH24">#REF!</definedName>
    <definedName name="TableauH25">#REF!</definedName>
    <definedName name="TableauH26">#REF!</definedName>
    <definedName name="TableauH27">#REF!</definedName>
    <definedName name="TableauH28">#REF!</definedName>
    <definedName name="TableauH28a">#REF!</definedName>
    <definedName name="TableauH29">#REF!</definedName>
    <definedName name="TableauH2a">#REF!</definedName>
    <definedName name="TableauH2b">#REF!</definedName>
    <definedName name="TableauH3">#REF!</definedName>
    <definedName name="TableauH30">#REF!</definedName>
    <definedName name="TableauH30a">#REF!</definedName>
    <definedName name="TableauH31">#REF!</definedName>
    <definedName name="TableauH32">#REF!</definedName>
    <definedName name="TableauH33">#REF!</definedName>
    <definedName name="TableauH34">#REF!</definedName>
    <definedName name="TableauH34a">#REF!</definedName>
    <definedName name="TableauH35">#REF!</definedName>
    <definedName name="TableauH36">#REF!</definedName>
    <definedName name="TableauH37">#REF!</definedName>
    <definedName name="TableauH38">#REF!</definedName>
    <definedName name="TableauH39">#REF!</definedName>
    <definedName name="TableauH3a">#REF!</definedName>
    <definedName name="TableauH4">#REF!</definedName>
    <definedName name="TableauH40">#REF!</definedName>
    <definedName name="TableauH41">#REF!</definedName>
    <definedName name="TableauH42">#REF!</definedName>
    <definedName name="TableauH43">#REF!</definedName>
    <definedName name="TableauH44">#REF!</definedName>
    <definedName name="TableauH45">#REF!</definedName>
    <definedName name="TableauH46">#REF!</definedName>
    <definedName name="TableauH47">#REF!</definedName>
    <definedName name="TableauH48">#REF!</definedName>
    <definedName name="TableauH49">#REF!</definedName>
    <definedName name="TableauH4a">#REF!</definedName>
    <definedName name="TableauH4b">#REF!</definedName>
    <definedName name="TableauH4c">#REF!</definedName>
    <definedName name="TableauH4d">#REF!</definedName>
    <definedName name="TableauH5">#REF!</definedName>
    <definedName name="TableauH50">#REF!</definedName>
    <definedName name="TableauH51">#REF!</definedName>
    <definedName name="TableauH52">#REF!</definedName>
    <definedName name="TableauH53">#REF!</definedName>
    <definedName name="TableauH54">#REF!</definedName>
    <definedName name="TableauH5a">#REF!</definedName>
    <definedName name="TableauH6">#REF!</definedName>
    <definedName name="TableauH7">#REF!</definedName>
    <definedName name="TableauH8">#REF!</definedName>
    <definedName name="TableauH9">#REF!</definedName>
    <definedName name="Tableaux">#REF!</definedName>
    <definedName name="te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e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m">#REF!</definedName>
    <definedName name="tm_2">#REF!</definedName>
    <definedName name="tm_3">#REF!</definedName>
    <definedName name="tm_5">#REF!</definedName>
    <definedName name="TM1REBUILDOPTION">1</definedName>
    <definedName name="tom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it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itk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k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ik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kl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kl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lf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lf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uik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ikt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ö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ip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g" hidden="1">Main.SAPF4Help()</definedName>
    <definedName name="uöoö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öoö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oöö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oööo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zlz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uzlzf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v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ValeursGraphique">CHOOSE(TableauGraphique,#REF!,#REF!)</definedName>
    <definedName name="volbrut">#REF!</definedName>
    <definedName name="volbrut_2">#REF!</definedName>
    <definedName name="volbrut_3">#REF!</definedName>
    <definedName name="volbrut_5">#REF!</definedName>
    <definedName name="w" hidden="1">{#N/A,#N/A,FALSE,"bel";#N/A,#N/A,FALSE,"neth"}</definedName>
    <definedName name="w_" hidden="1">{#N/A,#N/A,FALSE,"bel";#N/A,#N/A,FALSE,"neth"}</definedName>
    <definedName name="w__1" hidden="1">{#N/A,#N/A,FALSE,"bel";#N/A,#N/A,FALSE,"neth"}</definedName>
    <definedName name="w_1" hidden="1">{#N/A,#N/A,FALSE,"bel";#N/A,#N/A,FALSE,"neth"}</definedName>
    <definedName name="w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erre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rre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twaert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etwaert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r" hidden="1">{#N/A,#N/A,FALSE,"Z3 1,8i";#N/A,#N/A,FALSE,"Z3 1,9iS";#N/A,#N/A,FALSE,"Z3 2,8i";#N/A,#N/A,FALSE,"Z3 2,8i Coupé"}</definedName>
    <definedName name="wr_1" hidden="1">{#N/A,#N/A,FALSE,"Z3 1,8i";#N/A,#N/A,FALSE,"Z3 1,9iS";#N/A,#N/A,FALSE,"Z3 2,8i";#N/A,#N/A,FALSE,"Z3 2,8i Coupé"}</definedName>
    <definedName name="wrn.Gesamt.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.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_1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LUP._.04._.Vertrieb.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LUP._.04._.Vertrieb.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Mappen._.gesamt." hidden="1">{#N/A,#N/A,FALSE,"Z3 1,8i";#N/A,#N/A,FALSE,"Z3 1,9iS";#N/A,#N/A,FALSE,"Z3 2,8i";#N/A,#N/A,FALSE,"Z3 2,8i Coupé"}</definedName>
    <definedName name="wrn.Mappen._.gesamt._1" hidden="1">{#N/A,#N/A,FALSE,"Z3 1,8i";#N/A,#N/A,FALSE,"Z3 1,9iS";#N/A,#N/A,FALSE,"Z3 2,8i";#N/A,#N/A,FALSE,"Z3 2,8i Coupé"}</definedName>
    <definedName name="wrn.Report._.english.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Report._.english._1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Statusbericht._.deutsch.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tatusbericht._.deutsch._1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ummary." hidden="1">{#N/A,#N/A,FALSE,"bel";#N/A,#N/A,FALSE,"neth"}</definedName>
    <definedName name="wrn.summary._1" hidden="1">{#N/A,#N/A,FALSE,"bel";#N/A,#N/A,FALSE,"neth"}</definedName>
    <definedName name="wrn.test1." hidden="1">{"atest",#N/A,FALSE,"Tabelle1";#N/A,#N/A,FALSE,"Tabelle2"}</definedName>
    <definedName name="wrn.test1._1" hidden="1">{"atest",#N/A,FALSE,"Tabelle1";#N/A,#N/A,FALSE,"Tabelle2"}</definedName>
    <definedName name="wvu.Al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Budget_19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1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7._2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Ergebni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_2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1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_2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">#REF!</definedName>
    <definedName name="x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_1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bbnhb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bnhb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cb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bcb_1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c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1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_2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cbc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c_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xc" hidden="1">{#N/A,#N/A,FALSE,"bel";#N/A,#N/A,FALSE,"neth"}</definedName>
    <definedName name="xcbxc_1" hidden="1">{#N/A,#N/A,FALSE,"bel";#N/A,#N/A,FALSE,"neth"}</definedName>
    <definedName name="xthj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hj_1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jxz" hidden="1">{#N/A,#N/A,FALSE,"bel";#N/A,#N/A,FALSE,"neth"}</definedName>
    <definedName name="xtjxz_1" hidden="1">{#N/A,#N/A,FALSE,"bel";#N/A,#N/A,FALSE,"neth"}</definedName>
    <definedName name="yx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1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f_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_11E42F02_8116_47C6_A60D_8C2FB4F4AE5D_.wvu.Cols" hidden="1">#REF!,#REF!,#REF!</definedName>
    <definedName name="zfluf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flufu_1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ie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iele_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lu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luz_1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" i="6" l="1"/>
  <c r="M78" i="6"/>
  <c r="N78" i="6"/>
  <c r="K78" i="6"/>
  <c r="L80" i="6"/>
  <c r="M80" i="6"/>
  <c r="N80" i="6"/>
  <c r="K80" i="6"/>
  <c r="L79" i="6"/>
  <c r="M79" i="6"/>
  <c r="N79" i="6"/>
  <c r="K79" i="6"/>
  <c r="L77" i="6"/>
  <c r="M77" i="6"/>
  <c r="N77" i="6"/>
  <c r="K77" i="6"/>
  <c r="L76" i="6"/>
  <c r="M76" i="6"/>
  <c r="N76" i="6"/>
  <c r="K76" i="6"/>
  <c r="L75" i="6"/>
  <c r="M75" i="6"/>
  <c r="N75" i="6"/>
  <c r="K75" i="6"/>
  <c r="L74" i="6"/>
  <c r="M74" i="6"/>
  <c r="N74" i="6"/>
  <c r="K74" i="6"/>
  <c r="L73" i="6"/>
  <c r="M73" i="6"/>
  <c r="N73" i="6"/>
  <c r="K73" i="6"/>
  <c r="H74" i="6"/>
  <c r="H75" i="6"/>
  <c r="H76" i="6"/>
  <c r="H77" i="6"/>
  <c r="H78" i="6"/>
  <c r="H79" i="6"/>
  <c r="H80" i="6"/>
  <c r="H73" i="6"/>
  <c r="G74" i="6"/>
  <c r="G75" i="6"/>
  <c r="G76" i="6"/>
  <c r="G77" i="6"/>
  <c r="G78" i="6"/>
  <c r="G79" i="6"/>
  <c r="G80" i="6"/>
  <c r="G73" i="6"/>
  <c r="F74" i="6"/>
  <c r="F75" i="6"/>
  <c r="F76" i="6"/>
  <c r="F77" i="6"/>
  <c r="F78" i="6"/>
  <c r="F79" i="6"/>
  <c r="F80" i="6"/>
  <c r="F73" i="6"/>
  <c r="E74" i="6"/>
  <c r="E75" i="6"/>
  <c r="E76" i="6"/>
  <c r="E77" i="6"/>
  <c r="E78" i="6"/>
  <c r="E79" i="6"/>
  <c r="E80" i="6"/>
  <c r="E73" i="6"/>
  <c r="P30" i="6"/>
  <c r="E63" i="6"/>
  <c r="E62" i="6"/>
  <c r="E61" i="6"/>
  <c r="E42" i="6"/>
  <c r="E41" i="6"/>
  <c r="E40" i="6"/>
  <c r="E39" i="6"/>
  <c r="E38" i="6"/>
  <c r="E52" i="6"/>
  <c r="F52" i="6" s="1"/>
  <c r="G52" i="6" s="1"/>
  <c r="H52" i="6" s="1"/>
  <c r="I52" i="6" s="1"/>
  <c r="J52" i="6" s="1"/>
  <c r="K52" i="6" s="1"/>
  <c r="L52" i="6" s="1"/>
  <c r="M52" i="6" s="1"/>
  <c r="N52" i="6" s="1"/>
  <c r="R52" i="6" s="1"/>
  <c r="E53" i="6"/>
  <c r="F53" i="6" s="1"/>
  <c r="G53" i="6" s="1"/>
  <c r="H53" i="6" s="1"/>
  <c r="I53" i="6" s="1"/>
  <c r="J53" i="6" s="1"/>
  <c r="K53" i="6" s="1"/>
  <c r="L53" i="6" s="1"/>
  <c r="M53" i="6" s="1"/>
  <c r="N53" i="6" s="1"/>
  <c r="R53" i="6" s="1"/>
  <c r="E54" i="6"/>
  <c r="F54" i="6" s="1"/>
  <c r="G54" i="6" s="1"/>
  <c r="H54" i="6" s="1"/>
  <c r="I54" i="6" s="1"/>
  <c r="J54" i="6" s="1"/>
  <c r="K54" i="6" s="1"/>
  <c r="L54" i="6" s="1"/>
  <c r="M54" i="6" s="1"/>
  <c r="N54" i="6" s="1"/>
  <c r="R54" i="6" s="1"/>
  <c r="E31" i="6"/>
  <c r="F31" i="6" s="1"/>
  <c r="G31" i="6" s="1"/>
  <c r="H31" i="6" s="1"/>
  <c r="I31" i="6" s="1"/>
  <c r="J31" i="6" s="1"/>
  <c r="K31" i="6" s="1"/>
  <c r="L31" i="6" s="1"/>
  <c r="M31" i="6" s="1"/>
  <c r="N31" i="6" s="1"/>
  <c r="E32" i="6"/>
  <c r="F32" i="6" s="1"/>
  <c r="G32" i="6" s="1"/>
  <c r="H32" i="6" s="1"/>
  <c r="I32" i="6" s="1"/>
  <c r="J32" i="6" s="1"/>
  <c r="K32" i="6" s="1"/>
  <c r="L32" i="6" s="1"/>
  <c r="M32" i="6" s="1"/>
  <c r="N32" i="6" s="1"/>
  <c r="R32" i="6" s="1"/>
  <c r="E30" i="6"/>
  <c r="F30" i="6" s="1"/>
  <c r="G30" i="6" s="1"/>
  <c r="H30" i="6" s="1"/>
  <c r="I30" i="6" s="1"/>
  <c r="J30" i="6" s="1"/>
  <c r="K30" i="6" s="1"/>
  <c r="L30" i="6" s="1"/>
  <c r="M30" i="6" s="1"/>
  <c r="N30" i="6" s="1"/>
  <c r="R30" i="6" s="1"/>
  <c r="S47" i="6"/>
  <c r="R48" i="6" s="1"/>
  <c r="E21" i="6"/>
  <c r="E20" i="6"/>
  <c r="F8" i="6"/>
  <c r="G8" i="6" s="1"/>
  <c r="H8" i="6" s="1"/>
  <c r="I8" i="6" s="1"/>
  <c r="J8" i="6" s="1"/>
  <c r="K8" i="6" s="1"/>
  <c r="L8" i="6" s="1"/>
  <c r="M8" i="6" s="1"/>
  <c r="N8" i="6" s="1"/>
  <c r="F15" i="3"/>
  <c r="K48" i="2"/>
  <c r="G16" i="3"/>
  <c r="G14" i="3"/>
  <c r="G13" i="3"/>
  <c r="G12" i="3"/>
  <c r="G10" i="3"/>
  <c r="H91" i="3"/>
  <c r="H76" i="3"/>
  <c r="H61" i="3"/>
  <c r="H63" i="3"/>
  <c r="P52" i="6" l="1"/>
  <c r="P32" i="6"/>
  <c r="P54" i="6"/>
  <c r="P53" i="6"/>
  <c r="R31" i="6"/>
  <c r="P31" i="6"/>
  <c r="H93" i="3"/>
  <c r="F63" i="3"/>
  <c r="H78" i="3"/>
  <c r="F93" i="3"/>
  <c r="F78" i="3"/>
  <c r="F74" i="3"/>
  <c r="F66" i="3"/>
  <c r="F62" i="3"/>
  <c r="F14" i="2"/>
  <c r="F14" i="3" s="1"/>
  <c r="E94" i="3" s="1"/>
  <c r="F21" i="3"/>
  <c r="G45" i="3"/>
  <c r="F45" i="3"/>
  <c r="G21" i="3" s="1"/>
  <c r="H45" i="3"/>
  <c r="F9" i="3"/>
  <c r="E89" i="3" s="1"/>
  <c r="G34" i="3"/>
  <c r="F76" i="3" s="1"/>
  <c r="H34" i="3"/>
  <c r="F92" i="3" s="1"/>
  <c r="G35" i="3"/>
  <c r="F80" i="3" s="1"/>
  <c r="H35" i="3"/>
  <c r="F95" i="3" s="1"/>
  <c r="G36" i="3"/>
  <c r="F81" i="3" s="1"/>
  <c r="H36" i="3"/>
  <c r="F96" i="3" s="1"/>
  <c r="G37" i="3"/>
  <c r="G77" i="3" s="1"/>
  <c r="H37" i="3"/>
  <c r="G91" i="3" s="1"/>
  <c r="G38" i="3"/>
  <c r="G80" i="3" s="1"/>
  <c r="H38" i="3"/>
  <c r="G95" i="3" s="1"/>
  <c r="G39" i="3"/>
  <c r="H39" i="3"/>
  <c r="G96" i="3" s="1"/>
  <c r="G40" i="3"/>
  <c r="H40" i="3"/>
  <c r="J92" i="3" s="1"/>
  <c r="G41" i="3"/>
  <c r="J80" i="3" s="1"/>
  <c r="H41" i="3"/>
  <c r="J95" i="3" s="1"/>
  <c r="G42" i="3"/>
  <c r="H42" i="3"/>
  <c r="J96" i="3" s="1"/>
  <c r="G43" i="3"/>
  <c r="H43" i="3"/>
  <c r="G44" i="3"/>
  <c r="H44" i="3"/>
  <c r="G46" i="3"/>
  <c r="M78" i="3" s="1"/>
  <c r="H46" i="3"/>
  <c r="M93" i="3" s="1"/>
  <c r="G47" i="3"/>
  <c r="M80" i="3" s="1"/>
  <c r="H47" i="3"/>
  <c r="M95" i="3" s="1"/>
  <c r="G48" i="3"/>
  <c r="H48" i="3"/>
  <c r="M96" i="3" s="1"/>
  <c r="G49" i="3"/>
  <c r="N77" i="3" s="1"/>
  <c r="H49" i="3"/>
  <c r="N93" i="3" s="1"/>
  <c r="G50" i="3"/>
  <c r="N80" i="3" s="1"/>
  <c r="H50" i="3"/>
  <c r="N95" i="3" s="1"/>
  <c r="G51" i="3"/>
  <c r="H51" i="3"/>
  <c r="N96" i="3" s="1"/>
  <c r="F35" i="3"/>
  <c r="F65" i="3" s="1"/>
  <c r="F36" i="3"/>
  <c r="F64" i="3" s="1"/>
  <c r="F37" i="3"/>
  <c r="F38" i="3"/>
  <c r="G65" i="3" s="1"/>
  <c r="F39" i="3"/>
  <c r="G64" i="3" s="1"/>
  <c r="F40" i="3"/>
  <c r="F41" i="3"/>
  <c r="J65" i="3" s="1"/>
  <c r="F42" i="3"/>
  <c r="J64" i="3" s="1"/>
  <c r="F43" i="3"/>
  <c r="G27" i="3" s="1"/>
  <c r="F44" i="3"/>
  <c r="F16" i="3" s="1"/>
  <c r="E66" i="3" s="1"/>
  <c r="F46" i="3"/>
  <c r="M63" i="3" s="1"/>
  <c r="F47" i="3"/>
  <c r="M65" i="3" s="1"/>
  <c r="F48" i="3"/>
  <c r="M66" i="3" s="1"/>
  <c r="F49" i="3"/>
  <c r="N62" i="3" s="1"/>
  <c r="F50" i="3"/>
  <c r="N65" i="3" s="1"/>
  <c r="F51" i="3"/>
  <c r="N64" i="3" s="1"/>
  <c r="F34" i="3"/>
  <c r="F59" i="3" s="1"/>
  <c r="F28" i="3"/>
  <c r="F27" i="3"/>
  <c r="F13" i="3"/>
  <c r="F12" i="3"/>
  <c r="H12" i="3" s="1"/>
  <c r="F11" i="3"/>
  <c r="F10" i="3"/>
  <c r="H10" i="3" s="1"/>
  <c r="F59" i="2"/>
  <c r="H59" i="3" s="1"/>
  <c r="J78" i="3" l="1"/>
  <c r="J76" i="3"/>
  <c r="F89" i="3"/>
  <c r="F90" i="3"/>
  <c r="F91" i="3"/>
  <c r="F60" i="3"/>
  <c r="F61" i="3"/>
  <c r="F94" i="3"/>
  <c r="F75" i="3"/>
  <c r="F79" i="3"/>
  <c r="G62" i="3"/>
  <c r="I62" i="3" s="1"/>
  <c r="G61" i="3"/>
  <c r="F77" i="3"/>
  <c r="I77" i="3" s="1"/>
  <c r="E61" i="3"/>
  <c r="J63" i="3"/>
  <c r="J61" i="3"/>
  <c r="G78" i="3"/>
  <c r="I78" i="3" s="1"/>
  <c r="G76" i="3"/>
  <c r="H74" i="3"/>
  <c r="E79" i="3"/>
  <c r="J94" i="3"/>
  <c r="J62" i="3"/>
  <c r="H89" i="3"/>
  <c r="N90" i="3"/>
  <c r="E81" i="3"/>
  <c r="G75" i="3"/>
  <c r="N89" i="3"/>
  <c r="G92" i="3"/>
  <c r="I92" i="3" s="1"/>
  <c r="N91" i="3"/>
  <c r="J60" i="3"/>
  <c r="G93" i="3"/>
  <c r="I93" i="3" s="1"/>
  <c r="J66" i="3"/>
  <c r="M61" i="3"/>
  <c r="E64" i="3"/>
  <c r="N76" i="3"/>
  <c r="J89" i="3"/>
  <c r="E77" i="3"/>
  <c r="E96" i="3"/>
  <c r="J90" i="3"/>
  <c r="E78" i="3"/>
  <c r="J93" i="3"/>
  <c r="G94" i="3"/>
  <c r="M79" i="3"/>
  <c r="N92" i="3"/>
  <c r="N74" i="3"/>
  <c r="M89" i="3"/>
  <c r="M62" i="3"/>
  <c r="G74" i="3"/>
  <c r="N75" i="3"/>
  <c r="M90" i="3"/>
  <c r="N94" i="3"/>
  <c r="M92" i="3"/>
  <c r="M91" i="3"/>
  <c r="M60" i="3"/>
  <c r="N78" i="3"/>
  <c r="J59" i="3"/>
  <c r="G90" i="3"/>
  <c r="I90" i="3" s="1"/>
  <c r="J91" i="3"/>
  <c r="M94" i="3"/>
  <c r="G59" i="3"/>
  <c r="G89" i="3"/>
  <c r="E59" i="3"/>
  <c r="J79" i="3"/>
  <c r="E60" i="3"/>
  <c r="J81" i="3"/>
  <c r="G60" i="3"/>
  <c r="N59" i="3"/>
  <c r="E63" i="3"/>
  <c r="E92" i="3"/>
  <c r="G66" i="3"/>
  <c r="J74" i="3"/>
  <c r="M74" i="3"/>
  <c r="N61" i="3"/>
  <c r="G81" i="3"/>
  <c r="M75" i="3"/>
  <c r="N79" i="3"/>
  <c r="M59" i="3"/>
  <c r="N60" i="3"/>
  <c r="E74" i="3"/>
  <c r="M64" i="3"/>
  <c r="N66" i="3"/>
  <c r="E75" i="3"/>
  <c r="J77" i="3"/>
  <c r="M77" i="3"/>
  <c r="N81" i="3"/>
  <c r="G63" i="3"/>
  <c r="I63" i="3" s="1"/>
  <c r="M81" i="3"/>
  <c r="E62" i="3"/>
  <c r="E90" i="3"/>
  <c r="N63" i="3"/>
  <c r="G79" i="3"/>
  <c r="J75" i="3"/>
  <c r="M76" i="3"/>
  <c r="E76" i="3"/>
  <c r="E91" i="3"/>
  <c r="E93" i="3"/>
  <c r="H9" i="3"/>
  <c r="H14" i="3"/>
  <c r="G28" i="3"/>
  <c r="H16" i="3"/>
  <c r="K78" i="3" l="1"/>
  <c r="L78" i="3" s="1"/>
  <c r="I75" i="3"/>
  <c r="K75" i="3" s="1"/>
  <c r="O75" i="3" s="1"/>
  <c r="P75" i="3" s="1"/>
  <c r="D20" i="4" s="1"/>
  <c r="I60" i="3"/>
  <c r="K60" i="3" s="1"/>
  <c r="L60" i="3" s="1"/>
  <c r="I96" i="3"/>
  <c r="K96" i="3" s="1"/>
  <c r="L96" i="3" s="1"/>
  <c r="I66" i="3"/>
  <c r="I81" i="3"/>
  <c r="K81" i="3" s="1"/>
  <c r="O81" i="3" s="1"/>
  <c r="I94" i="3"/>
  <c r="K94" i="3" s="1"/>
  <c r="I64" i="3"/>
  <c r="K64" i="3" s="1"/>
  <c r="I79" i="3"/>
  <c r="K79" i="3" s="1"/>
  <c r="O79" i="3" s="1"/>
  <c r="G9" i="3"/>
  <c r="I74" i="3" s="1"/>
  <c r="K77" i="3"/>
  <c r="O77" i="3" s="1"/>
  <c r="K93" i="3"/>
  <c r="O93" i="3" s="1"/>
  <c r="K90" i="3"/>
  <c r="O90" i="3" s="1"/>
  <c r="K92" i="3"/>
  <c r="O92" i="3" s="1"/>
  <c r="P92" i="3" s="1"/>
  <c r="E22" i="4" s="1"/>
  <c r="F17" i="3"/>
  <c r="E95" i="3"/>
  <c r="E65" i="3"/>
  <c r="E80" i="3"/>
  <c r="H15" i="3"/>
  <c r="G15" i="3" s="1"/>
  <c r="K66" i="3"/>
  <c r="O66" i="3" s="1"/>
  <c r="O78" i="3" l="1"/>
  <c r="R76" i="3" s="1"/>
  <c r="I95" i="3"/>
  <c r="K95" i="3" s="1"/>
  <c r="L95" i="3" s="1"/>
  <c r="I80" i="3"/>
  <c r="K80" i="3" s="1"/>
  <c r="O80" i="3" s="1"/>
  <c r="I65" i="3"/>
  <c r="K65" i="3" s="1"/>
  <c r="O65" i="3" s="1"/>
  <c r="I59" i="3"/>
  <c r="K59" i="3" s="1"/>
  <c r="I89" i="3"/>
  <c r="K89" i="3" s="1"/>
  <c r="O94" i="3"/>
  <c r="P93" i="3"/>
  <c r="E23" i="4" s="1"/>
  <c r="R91" i="3"/>
  <c r="P90" i="3"/>
  <c r="E20" i="4" s="1"/>
  <c r="P79" i="3"/>
  <c r="D24" i="4" s="1"/>
  <c r="R77" i="3"/>
  <c r="P77" i="3"/>
  <c r="D22" i="4" s="1"/>
  <c r="P66" i="3"/>
  <c r="C26" i="4" s="1"/>
  <c r="R64" i="3"/>
  <c r="P81" i="3"/>
  <c r="D26" i="4" s="1"/>
  <c r="R79" i="3"/>
  <c r="E98" i="3"/>
  <c r="O64" i="3"/>
  <c r="L64" i="3"/>
  <c r="L93" i="3"/>
  <c r="L81" i="3"/>
  <c r="L77" i="3"/>
  <c r="E83" i="3"/>
  <c r="L79" i="3"/>
  <c r="O96" i="3"/>
  <c r="L75" i="3"/>
  <c r="L92" i="3"/>
  <c r="L90" i="3"/>
  <c r="D8" i="4"/>
  <c r="E8" i="4"/>
  <c r="C8" i="4"/>
  <c r="L94" i="3"/>
  <c r="O60" i="3"/>
  <c r="K63" i="3"/>
  <c r="O63" i="3" s="1"/>
  <c r="L66" i="3"/>
  <c r="E68" i="3"/>
  <c r="K62" i="3"/>
  <c r="O62" i="3" s="1"/>
  <c r="P62" i="3" s="1"/>
  <c r="C22" i="4" s="1"/>
  <c r="P78" i="3" l="1"/>
  <c r="D23" i="4" s="1"/>
  <c r="H20" i="6"/>
  <c r="L80" i="3"/>
  <c r="G20" i="6" s="1"/>
  <c r="E12" i="6"/>
  <c r="E11" i="6"/>
  <c r="E10" i="6"/>
  <c r="P94" i="3"/>
  <c r="E24" i="4" s="1"/>
  <c r="R92" i="3"/>
  <c r="P80" i="3"/>
  <c r="D25" i="4" s="1"/>
  <c r="R78" i="3"/>
  <c r="P65" i="3"/>
  <c r="C25" i="4" s="1"/>
  <c r="R63" i="3"/>
  <c r="P64" i="3"/>
  <c r="C24" i="4" s="1"/>
  <c r="R62" i="3"/>
  <c r="P63" i="3"/>
  <c r="C23" i="4" s="1"/>
  <c r="R61" i="3"/>
  <c r="P60" i="3"/>
  <c r="C20" i="4" s="1"/>
  <c r="P96" i="3"/>
  <c r="E26" i="4" s="1"/>
  <c r="R94" i="3"/>
  <c r="O95" i="3"/>
  <c r="L89" i="3"/>
  <c r="O89" i="3"/>
  <c r="R89" i="3" s="1"/>
  <c r="K74" i="3"/>
  <c r="O59" i="3"/>
  <c r="L59" i="3"/>
  <c r="L63" i="3"/>
  <c r="L65" i="3"/>
  <c r="F20" i="6" s="1"/>
  <c r="L62" i="3"/>
  <c r="P95" i="3" l="1"/>
  <c r="E25" i="4" s="1"/>
  <c r="R93" i="3"/>
  <c r="P59" i="3"/>
  <c r="R59" i="3"/>
  <c r="L74" i="3"/>
  <c r="O74" i="3"/>
  <c r="R74" i="3" s="1"/>
  <c r="C19" i="4" l="1"/>
  <c r="P89" i="3"/>
  <c r="P74" i="3"/>
  <c r="E19" i="4" l="1"/>
  <c r="D19" i="4"/>
  <c r="G11" i="3" l="1"/>
  <c r="I61" i="3" s="1"/>
  <c r="H17" i="3"/>
  <c r="I68" i="3" l="1"/>
  <c r="K61" i="3"/>
  <c r="K68" i="3" s="1"/>
  <c r="G17" i="3"/>
  <c r="I91" i="3"/>
  <c r="I76" i="3"/>
  <c r="I83" i="3" l="1"/>
  <c r="K76" i="3"/>
  <c r="K83" i="3" s="1"/>
  <c r="K91" i="3"/>
  <c r="K98" i="3" s="1"/>
  <c r="I98" i="3"/>
  <c r="L61" i="3"/>
  <c r="O61" i="3"/>
  <c r="O76" i="3" l="1"/>
  <c r="P76" i="3" s="1"/>
  <c r="O91" i="3"/>
  <c r="O98" i="3" s="1"/>
  <c r="L68" i="3"/>
  <c r="C9" i="4" s="1"/>
  <c r="C13" i="4" s="1"/>
  <c r="F21" i="6"/>
  <c r="L76" i="3"/>
  <c r="O68" i="3"/>
  <c r="R60" i="3"/>
  <c r="P61" i="3"/>
  <c r="L91" i="3"/>
  <c r="O83" i="3" l="1"/>
  <c r="R75" i="3"/>
  <c r="R90" i="3"/>
  <c r="P91" i="3"/>
  <c r="E21" i="4" s="1"/>
  <c r="E27" i="4" s="1"/>
  <c r="F10" i="6"/>
  <c r="G10" i="6" s="1"/>
  <c r="H10" i="6" s="1"/>
  <c r="I10" i="6" s="1"/>
  <c r="J10" i="6" s="1"/>
  <c r="K10" i="6" s="1"/>
  <c r="L10" i="6" s="1"/>
  <c r="M10" i="6" s="1"/>
  <c r="N10" i="6" s="1"/>
  <c r="R10" i="6" s="1"/>
  <c r="L98" i="3"/>
  <c r="E9" i="4" s="1"/>
  <c r="E13" i="4" s="1"/>
  <c r="H21" i="6"/>
  <c r="L83" i="3"/>
  <c r="D9" i="4" s="1"/>
  <c r="G21" i="6"/>
  <c r="D21" i="4"/>
  <c r="D27" i="4" s="1"/>
  <c r="P83" i="3"/>
  <c r="D10" i="4" s="1"/>
  <c r="C21" i="4"/>
  <c r="C27" i="4" s="1"/>
  <c r="P68" i="3"/>
  <c r="C10" i="4" s="1"/>
  <c r="C12" i="4" s="1"/>
  <c r="P98" i="3" l="1"/>
  <c r="E10" i="4" s="1"/>
  <c r="E28" i="4" s="1"/>
  <c r="P10" i="6"/>
  <c r="D12" i="4"/>
  <c r="F12" i="6"/>
  <c r="G12" i="6" s="1"/>
  <c r="H12" i="6" s="1"/>
  <c r="I12" i="6" s="1"/>
  <c r="J12" i="6" s="1"/>
  <c r="K12" i="6" s="1"/>
  <c r="L12" i="6" s="1"/>
  <c r="M12" i="6" s="1"/>
  <c r="N12" i="6" s="1"/>
  <c r="P12" i="6" s="1"/>
  <c r="D13" i="4"/>
  <c r="F11" i="6"/>
  <c r="G11" i="6" s="1"/>
  <c r="H11" i="6" s="1"/>
  <c r="I11" i="6" s="1"/>
  <c r="J11" i="6" s="1"/>
  <c r="K11" i="6" s="1"/>
  <c r="C28" i="4"/>
  <c r="D28" i="4"/>
  <c r="L11" i="6" l="1"/>
  <c r="M11" i="6" s="1"/>
  <c r="N11" i="6" s="1"/>
  <c r="E12" i="4"/>
  <c r="R12" i="6"/>
  <c r="P11" i="6" l="1"/>
  <c r="R11" i="6"/>
</calcChain>
</file>

<file path=xl/sharedStrings.xml><?xml version="1.0" encoding="utf-8"?>
<sst xmlns="http://schemas.openxmlformats.org/spreadsheetml/2006/main" count="511" uniqueCount="175">
  <si>
    <t>Schéma directeur / Plan stratégique à 10 ans cloud et datacenters</t>
  </si>
  <si>
    <t>Modélisation de la demande IT Horizon 2035</t>
  </si>
  <si>
    <t>Inputs &amp; Hypothèses</t>
  </si>
  <si>
    <t>A.</t>
  </si>
  <si>
    <t>Baseline 2026</t>
  </si>
  <si>
    <t>Bloc</t>
  </si>
  <si>
    <t>Unité</t>
  </si>
  <si>
    <t>Baseline IT 2026</t>
  </si>
  <si>
    <t>Source / commentaire</t>
  </si>
  <si>
    <t>DSP</t>
  </si>
  <si>
    <t>kW</t>
  </si>
  <si>
    <t>Hypothèse RB sur la base des entretiens</t>
  </si>
  <si>
    <t>DENJS</t>
  </si>
  <si>
    <t>APDP</t>
  </si>
  <si>
    <t>DITN</t>
  </si>
  <si>
    <t>CHPG</t>
  </si>
  <si>
    <t>Monaco Telecom – besoins propres</t>
  </si>
  <si>
    <t>Finance</t>
  </si>
  <si>
    <t>voir onglet calcul</t>
  </si>
  <si>
    <t>à calculer à partir du modèle</t>
  </si>
  <si>
    <t>Privé hors finance</t>
  </si>
  <si>
    <t>Driver / volume 2026</t>
  </si>
  <si>
    <t>agents</t>
  </si>
  <si>
    <t>kW capacité commerciale</t>
  </si>
  <si>
    <t>Hypothèse RB sur la base des entretiens (10% de la capa commerciale installée)</t>
  </si>
  <si>
    <t>salariés</t>
  </si>
  <si>
    <t>60 454 salariés privés – 4 534 finance (IMSEE, 2024)</t>
  </si>
  <si>
    <t>B.</t>
  </si>
  <si>
    <t>Hypothèses hors DSP, CHPG</t>
  </si>
  <si>
    <t>Hypothèse</t>
  </si>
  <si>
    <t>Scénario Bas</t>
  </si>
  <si>
    <t>Scénario Central</t>
  </si>
  <si>
    <t>Scénario Haut</t>
  </si>
  <si>
    <t>Source / rationnel</t>
  </si>
  <si>
    <t>Croissance annuelle effectifs publics</t>
  </si>
  <si>
    <t>% p.a.</t>
  </si>
  <si>
    <t>Hypothèse de travail</t>
  </si>
  <si>
    <t>Croissance annuelle effectifs finance</t>
  </si>
  <si>
    <t>Croissance annuelle effectifs privé hors finance</t>
  </si>
  <si>
    <t>Croissance annuelle intensité numérique hors IA – public</t>
  </si>
  <si>
    <t>Hypothèse de travail – besoin IT / utilisateur</t>
  </si>
  <si>
    <t>Croissance annuelle intensité numérique hors IA – finance</t>
  </si>
  <si>
    <t>Hypothèse de travail – finance plus data-intensive</t>
  </si>
  <si>
    <t>Croissance annuelle intensité numérique hors IA – hors finance</t>
  </si>
  <si>
    <t>Surcouche IA 2035 – public</t>
  </si>
  <si>
    <t>%</t>
  </si>
  <si>
    <t>Surcouche IA 2035 – finance</t>
  </si>
  <si>
    <t>Surcouche IA 2035 – hors finance</t>
  </si>
  <si>
    <t>W IT / salarié finance – 2026</t>
  </si>
  <si>
    <t>W / salarié</t>
  </si>
  <si>
    <t>W IT / salarié hors finance – 2026</t>
  </si>
  <si>
    <t>W IT / agent public – socle non-métier DSP</t>
  </si>
  <si>
    <t>W / agent</t>
  </si>
  <si>
    <t>Convention projet</t>
  </si>
  <si>
    <t>Part adressable Monaco – finance</t>
  </si>
  <si>
    <t>Part adressable Monaco – privé hors finance</t>
  </si>
  <si>
    <t>Part adressable Monaco – surcouche IA public</t>
  </si>
  <si>
    <t>Externalisée / hybride / locale</t>
  </si>
  <si>
    <t>Part adressable Monaco – surcouche IA finance</t>
  </si>
  <si>
    <t>Part adressable Monaco – surcouche IA hors finance</t>
  </si>
  <si>
    <t>C.</t>
  </si>
  <si>
    <t>Hypothèses DSP – applications métier (vidéo)</t>
  </si>
  <si>
    <t>Valeur</t>
  </si>
  <si>
    <t>Type</t>
  </si>
  <si>
    <t>Caméras 2026</t>
  </si>
  <si>
    <t>caméras</t>
  </si>
  <si>
    <t>Input</t>
  </si>
  <si>
    <t>Donnée équipe projet</t>
  </si>
  <si>
    <t>Ajout annuel de caméras</t>
  </si>
  <si>
    <t>caméras / an</t>
  </si>
  <si>
    <t>Caméras 2035</t>
  </si>
  <si>
    <t>Formule</t>
  </si>
  <si>
    <t>2026 + 9 × ajout annuel</t>
  </si>
  <si>
    <t>Résolution actuelle</t>
  </si>
  <si>
    <t>MP</t>
  </si>
  <si>
    <t>Résolution cible 2035</t>
  </si>
  <si>
    <t>Donnée équipe projet – 4K</t>
  </si>
  <si>
    <t>Facteur bitrate 8MP / 2MP</t>
  </si>
  <si>
    <t>x</t>
  </si>
  <si>
    <t>Benchmark</t>
  </si>
  <si>
    <t>Axis H.265, 24–30 fps : 2.53 / 0.64 Mb/s</t>
  </si>
  <si>
    <t>D.</t>
  </si>
  <si>
    <t>Hypothèses CHPG</t>
  </si>
  <si>
    <t>Croissance annuelle activité CHPG</t>
  </si>
  <si>
    <t>Surcroît métier santé / digitalisation 2035</t>
  </si>
  <si>
    <t>E. Sources principales</t>
  </si>
  <si>
    <t>IMSEE – Monaco en chiffres 2025</t>
  </si>
  <si>
    <t>https://www.imsee.mc/Publications/Monaco-en-chiffres-edition-2025</t>
  </si>
  <si>
    <t>Effectifs privés / finance – données 2024</t>
  </si>
  <si>
    <t>IMSEE – Emploi</t>
  </si>
  <si>
    <t>https://www.imsee.mc/Population-et-emploi/Emploi</t>
  </si>
  <si>
    <t>Effectifs salariés privé / public</t>
  </si>
  <si>
    <t>Axis – Surveillance Card selector</t>
  </si>
  <si>
    <t>https://www.axis.com/en-be/products/axis-surveillance-card-256-gb</t>
  </si>
  <si>
    <t>Bitrates indicatifs 2MP / 8MP H.265</t>
  </si>
  <si>
    <t>Cisco – Green Office Design</t>
  </si>
  <si>
    <t>https://www.cisco.com/c/dam/en_us/about/ciscoitatwork/downloads/ciscoitatwork/pdf/Cisco_IT_Case_Study_Green_Office_Design.pdf</t>
  </si>
  <si>
    <t>Contexte énergie IT de bureau ; non utilisé comme ratio DC direct</t>
  </si>
  <si>
    <t>Calculs</t>
  </si>
  <si>
    <t>Baseline besoins d'hébergement 2026</t>
  </si>
  <si>
    <t>Métier 2026</t>
  </si>
  <si>
    <t>Non-métier 2026 (kW)</t>
  </si>
  <si>
    <t>Monaco Telecom</t>
  </si>
  <si>
    <t>TOTAL</t>
  </si>
  <si>
    <t>Effectifs / driver</t>
  </si>
  <si>
    <t>W IT / utilisateur</t>
  </si>
  <si>
    <t>Commentaire</t>
  </si>
  <si>
    <t>W IT / Utilisateur</t>
  </si>
  <si>
    <t>DSP : résiduel vidéo après socle agents</t>
  </si>
  <si>
    <t>n.a.</t>
  </si>
  <si>
    <t>Projection générique public</t>
  </si>
  <si>
    <t>CHPG : activité + intensité + digitalisation métier</t>
  </si>
  <si>
    <t>Besoins propres uniquement</t>
  </si>
  <si>
    <t>Effectifs × W/salarié</t>
  </si>
  <si>
    <t>Hypothèses par scénario</t>
  </si>
  <si>
    <t>W</t>
  </si>
  <si>
    <t>Projection 2035 – besoin IT généré et demande adressable</t>
  </si>
  <si>
    <t>1.</t>
  </si>
  <si>
    <t>Scénario bas</t>
  </si>
  <si>
    <t>Croissance activité / effectifs</t>
  </si>
  <si>
    <t>Croissance intensité</t>
  </si>
  <si>
    <t>Facteur de croissance métier</t>
  </si>
  <si>
    <t>Besoin hors IA 2035</t>
  </si>
  <si>
    <t>Surcouche IA</t>
  </si>
  <si>
    <t>Besoin IA</t>
  </si>
  <si>
    <t>Besoin total 2035</t>
  </si>
  <si>
    <t>Adressable socle [%]</t>
  </si>
  <si>
    <t>Adressable IA [%]</t>
  </si>
  <si>
    <t>Demande adressable 2035 [kW IT]</t>
  </si>
  <si>
    <t>Demande adressable 2035 [MW IT]</t>
  </si>
  <si>
    <t>2.</t>
  </si>
  <si>
    <t>Scénario central</t>
  </si>
  <si>
    <t>3.</t>
  </si>
  <si>
    <t>Output – projection des besoins IT à horizon 2035</t>
  </si>
  <si>
    <t>Comparaison des trois scénarios | Besoin généré vs demande adressable à Monaco</t>
  </si>
  <si>
    <t>A. Synthèse des trois scénarios</t>
  </si>
  <si>
    <t>Indicateur</t>
  </si>
  <si>
    <t>Bas</t>
  </si>
  <si>
    <t>Central</t>
  </si>
  <si>
    <t>Haut</t>
  </si>
  <si>
    <t>Besoin IT total généré 2026 (MW IT)</t>
  </si>
  <si>
    <t>Besoin IT total généré 2035 (MW IT)</t>
  </si>
  <si>
    <t>Demande adressable Monaco 2035 (MW IT)</t>
  </si>
  <si>
    <t>Taux adressable moyen</t>
  </si>
  <si>
    <t>Croissance besoin généré 2026–2035 (x)</t>
  </si>
  <si>
    <t>B. Demande adressable 2035 par bloc d'entités</t>
  </si>
  <si>
    <t>Ctrl</t>
  </si>
  <si>
    <t>Autres entités publiques (incl. APDP, Caisses sociales, DENJS)</t>
  </si>
  <si>
    <t>Corps Sapeurs Pompiers</t>
  </si>
  <si>
    <t>E.</t>
  </si>
  <si>
    <t>Hypothèses Pompiers</t>
  </si>
  <si>
    <t>Croissance annuelle activité Pompiers</t>
  </si>
  <si>
    <t>Part adressable Monaco – public</t>
  </si>
  <si>
    <t>Autres entités publiques (incl. APDP, Caisses sociales, DENJS, DPP)</t>
  </si>
  <si>
    <t>Hypothèse de travail - Morningstar indique dans son 2022 Corporate Sustainability Report 12 224 employés en 2022 ; 6 947 896 kWh de consommation électrique des data centers. 6 947 896 kWh / 12 224 salariés = 568 kWh/salarié/an. Ensnuite 568 / 8 760 = 0,0649 kW = ~65 W/salarié - https://assets.contentstack.io/v3/assets/blt4eb669caa7dc65b2/blt7ae6d78e34f90570/2022_Corporate_Sustainability_Report.pdf</t>
  </si>
  <si>
    <t>Sliding</t>
  </si>
  <si>
    <t>Estimation basse</t>
  </si>
  <si>
    <t>Intermediate estimate</t>
  </si>
  <si>
    <t>Estimation haute</t>
  </si>
  <si>
    <t>CAGR</t>
  </si>
  <si>
    <t>Total 3 scénarios</t>
  </si>
  <si>
    <t>Scénario bas - 2035</t>
  </si>
  <si>
    <t>Scénario central - 2035</t>
  </si>
  <si>
    <t>Scénario haut - 2035</t>
  </si>
  <si>
    <t>Privé</t>
  </si>
  <si>
    <t>Public</t>
  </si>
  <si>
    <t>Scénario haut</t>
  </si>
  <si>
    <t>Evolution</t>
  </si>
  <si>
    <t>Répartition</t>
  </si>
  <si>
    <t>Estimation centrale</t>
  </si>
  <si>
    <t>Pompiers</t>
  </si>
  <si>
    <t>Autres entités</t>
  </si>
  <si>
    <t>Privé hors
finance</t>
  </si>
  <si>
    <t>Monaco 
Telecom</t>
  </si>
  <si>
    <t>Split total 3 scénarios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</si>
</sst>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[Red]\(#,##0.0\);\-"/>
    <numFmt numFmtId="165" formatCode="#,##0;[Red]\(#,##0\);\-"/>
    <numFmt numFmtId="166" formatCode="0.0%;[Red]\(0.0%\);\-"/>
    <numFmt numFmtId="167" formatCode="0.00\x"/>
    <numFmt numFmtId="168" formatCode="0.0%"/>
    <numFmt numFmtId="169" formatCode="#,##0.0"/>
    <numFmt numFmtId="170" formatCode="#,##0.0;[Red]#,##0.0"/>
    <numFmt numFmtId="171" formatCode="0.0\x"/>
    <numFmt numFmtId="172" formatCode="0.000;[Red]\(0.000\);\-"/>
    <numFmt numFmtId="173" formatCode="0.000;[Red]0.000"/>
    <numFmt numFmtId="174" formatCode="0;[Red]0"/>
    <numFmt numFmtId="175" formatCode="0.000"/>
  </numFmts>
  <fonts count="36">
    <font>
      <sz val="11"/>
      <name val="Carlito"/>
    </font>
    <font>
      <sz val="11"/>
      <color theme="1"/>
      <name val="Calibri"/>
      <family val="2"/>
      <scheme val="minor"/>
    </font>
    <font>
      <sz val="11"/>
      <name val="Carlito"/>
    </font>
    <font>
      <sz val="11"/>
      <name val="RB Office"/>
    </font>
    <font>
      <sz val="10"/>
      <name val="RB Office"/>
    </font>
    <font>
      <b/>
      <sz val="10"/>
      <color rgb="FFFFFFFF"/>
      <name val="RB Office"/>
    </font>
    <font>
      <i/>
      <sz val="10"/>
      <color rgb="FF666666"/>
      <name val="RB Office"/>
    </font>
    <font>
      <b/>
      <sz val="10"/>
      <name val="RB Office"/>
    </font>
    <font>
      <sz val="10"/>
      <color rgb="FF008000"/>
      <name val="RB Office"/>
    </font>
    <font>
      <sz val="10"/>
      <color rgb="FF0000FF"/>
      <name val="RB Office"/>
    </font>
    <font>
      <sz val="10"/>
      <color rgb="FF7030A0"/>
      <name val="RB Office"/>
    </font>
    <font>
      <sz val="10"/>
      <color rgb="FF000000"/>
      <name val="RB Office"/>
    </font>
    <font>
      <sz val="10"/>
      <color rgb="FF0070C0"/>
      <name val="RB Office"/>
    </font>
    <font>
      <i/>
      <sz val="10"/>
      <name val="RB Office"/>
    </font>
    <font>
      <i/>
      <sz val="10"/>
      <color theme="1" tint="0.499984740745262"/>
      <name val="RB Office"/>
    </font>
    <font>
      <sz val="11"/>
      <name val="Calibri"/>
      <family val="2"/>
    </font>
    <font>
      <sz val="27"/>
      <name val="Calibri Light"/>
      <family val="2"/>
      <scheme val="major"/>
    </font>
    <font>
      <sz val="21"/>
      <color theme="3"/>
      <name val="Arial Narrow"/>
      <family val="2"/>
    </font>
    <font>
      <sz val="11"/>
      <color theme="1"/>
      <name val="RB Office"/>
    </font>
    <font>
      <sz val="36"/>
      <name val="RB Office"/>
    </font>
    <font>
      <sz val="27"/>
      <name val="RB Office"/>
    </font>
    <font>
      <sz val="21"/>
      <color theme="3"/>
      <name val="RB Office"/>
    </font>
    <font>
      <sz val="10"/>
      <color theme="1"/>
      <name val="RB Office"/>
    </font>
    <font>
      <sz val="40"/>
      <color theme="1"/>
      <name val="RB Office"/>
    </font>
    <font>
      <b/>
      <sz val="18"/>
      <name val="RB Office"/>
    </font>
    <font>
      <sz val="12"/>
      <color theme="1"/>
      <name val="RB Office"/>
    </font>
    <font>
      <u/>
      <sz val="11"/>
      <color theme="10"/>
      <name val="Carlito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9"/>
      <color theme="1"/>
      <name val="RB Office"/>
    </font>
    <font>
      <b/>
      <sz val="9"/>
      <name val="RB Office"/>
    </font>
    <font>
      <sz val="9"/>
      <name val="RB Office"/>
    </font>
    <font>
      <b/>
      <sz val="9"/>
      <color rgb="FFFFFFFF"/>
      <name val="RB Office"/>
    </font>
    <font>
      <sz val="9"/>
      <color rgb="FF008000"/>
      <name val="RB Office"/>
    </font>
    <font>
      <sz val="9"/>
      <color rgb="FFFF0000"/>
      <name val="RB Office"/>
    </font>
    <font>
      <i/>
      <sz val="8"/>
      <color theme="3"/>
      <name val="RB Office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7365D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1" fillId="0" borderId="1"/>
    <xf numFmtId="0" fontId="1" fillId="0" borderId="1"/>
    <xf numFmtId="0" fontId="15" fillId="0" borderId="1"/>
    <xf numFmtId="49" fontId="16" fillId="0" borderId="1">
      <alignment horizontal="left" vertical="top"/>
    </xf>
    <xf numFmtId="0" fontId="17" fillId="0" borderId="1">
      <alignment horizontal="left" vertical="top"/>
    </xf>
    <xf numFmtId="0" fontId="26" fillId="0" borderId="0" applyNumberFormat="0" applyFill="0" applyBorder="0" applyAlignment="0" applyProtection="0"/>
    <xf numFmtId="0" fontId="27" fillId="0" borderId="1"/>
    <xf numFmtId="0" fontId="2" fillId="0" borderId="1"/>
    <xf numFmtId="0" fontId="28" fillId="0" borderId="1"/>
    <xf numFmtId="0" fontId="28" fillId="0" borderId="1"/>
  </cellStyleXfs>
  <cellXfs count="102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/>
    <xf numFmtId="2" fontId="4" fillId="0" borderId="0" xfId="0" applyNumberFormat="1" applyFont="1"/>
    <xf numFmtId="0" fontId="7" fillId="0" borderId="2" xfId="0" applyFont="1" applyBorder="1"/>
    <xf numFmtId="2" fontId="7" fillId="0" borderId="2" xfId="0" applyNumberFormat="1" applyFont="1" applyBorder="1"/>
    <xf numFmtId="168" fontId="8" fillId="0" borderId="0" xfId="0" applyNumberFormat="1" applyFont="1"/>
    <xf numFmtId="164" fontId="4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6" fontId="10" fillId="4" borderId="0" xfId="0" applyNumberFormat="1" applyFont="1" applyFill="1"/>
    <xf numFmtId="0" fontId="9" fillId="0" borderId="0" xfId="0" applyFont="1"/>
    <xf numFmtId="0" fontId="11" fillId="0" borderId="0" xfId="0" applyFont="1"/>
    <xf numFmtId="3" fontId="4" fillId="0" borderId="0" xfId="0" applyNumberFormat="1" applyFont="1"/>
    <xf numFmtId="9" fontId="4" fillId="0" borderId="0" xfId="1" applyFont="1"/>
    <xf numFmtId="169" fontId="7" fillId="0" borderId="2" xfId="0" applyNumberFormat="1" applyFont="1" applyBorder="1"/>
    <xf numFmtId="1" fontId="8" fillId="0" borderId="0" xfId="1" applyNumberFormat="1" applyFont="1"/>
    <xf numFmtId="3" fontId="4" fillId="0" borderId="3" xfId="0" applyNumberFormat="1" applyFont="1" applyBorder="1"/>
    <xf numFmtId="0" fontId="5" fillId="0" borderId="0" xfId="0" applyFont="1"/>
    <xf numFmtId="0" fontId="3" fillId="0" borderId="3" xfId="0" applyFont="1" applyBorder="1"/>
    <xf numFmtId="3" fontId="7" fillId="0" borderId="0" xfId="0" applyNumberFormat="1" applyFont="1"/>
    <xf numFmtId="3" fontId="7" fillId="0" borderId="4" xfId="0" applyNumberFormat="1" applyFont="1" applyBorder="1"/>
    <xf numFmtId="171" fontId="4" fillId="0" borderId="0" xfId="0" applyNumberFormat="1" applyFont="1"/>
    <xf numFmtId="0" fontId="4" fillId="0" borderId="3" xfId="0" applyFont="1" applyBorder="1"/>
    <xf numFmtId="164" fontId="9" fillId="0" borderId="3" xfId="0" applyNumberFormat="1" applyFont="1" applyBorder="1"/>
    <xf numFmtId="165" fontId="9" fillId="0" borderId="3" xfId="0" applyNumberFormat="1" applyFont="1" applyBorder="1"/>
    <xf numFmtId="166" fontId="10" fillId="4" borderId="3" xfId="0" applyNumberFormat="1" applyFont="1" applyFill="1" applyBorder="1"/>
    <xf numFmtId="167" fontId="10" fillId="4" borderId="3" xfId="0" applyNumberFormat="1" applyFont="1" applyFill="1" applyBorder="1"/>
    <xf numFmtId="0" fontId="9" fillId="0" borderId="3" xfId="0" applyFont="1" applyBorder="1"/>
    <xf numFmtId="171" fontId="12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68" fontId="13" fillId="0" borderId="0" xfId="0" applyNumberFormat="1" applyFont="1"/>
    <xf numFmtId="2" fontId="4" fillId="0" borderId="3" xfId="0" applyNumberFormat="1" applyFont="1" applyBorder="1"/>
    <xf numFmtId="0" fontId="7" fillId="0" borderId="1" xfId="0" applyFont="1" applyBorder="1"/>
    <xf numFmtId="169" fontId="7" fillId="0" borderId="1" xfId="0" applyNumberFormat="1" applyFont="1" applyBorder="1"/>
    <xf numFmtId="9" fontId="4" fillId="0" borderId="0" xfId="1" applyFont="1" applyFill="1"/>
    <xf numFmtId="0" fontId="14" fillId="0" borderId="0" xfId="0" applyFont="1"/>
    <xf numFmtId="0" fontId="18" fillId="0" borderId="1" xfId="2" applyFont="1"/>
    <xf numFmtId="0" fontId="18" fillId="0" borderId="1" xfId="3" applyFont="1"/>
    <xf numFmtId="0" fontId="3" fillId="0" borderId="1" xfId="4" applyFont="1"/>
    <xf numFmtId="0" fontId="3" fillId="0" borderId="1" xfId="2" applyFont="1"/>
    <xf numFmtId="49" fontId="19" fillId="0" borderId="1" xfId="5" applyFont="1">
      <alignment horizontal="left" vertical="top"/>
    </xf>
    <xf numFmtId="49" fontId="20" fillId="0" borderId="1" xfId="5" applyFont="1" applyAlignment="1">
      <alignment horizontal="left"/>
    </xf>
    <xf numFmtId="0" fontId="21" fillId="0" borderId="1" xfId="6" applyFont="1" applyAlignment="1">
      <alignment horizontal="left"/>
    </xf>
    <xf numFmtId="0" fontId="21" fillId="0" borderId="1" xfId="6" applyFont="1">
      <alignment horizontal="left" vertical="top"/>
    </xf>
    <xf numFmtId="0" fontId="18" fillId="0" borderId="5" xfId="2" applyFont="1" applyBorder="1"/>
    <xf numFmtId="0" fontId="18" fillId="0" borderId="5" xfId="3" applyFont="1" applyBorder="1"/>
    <xf numFmtId="0" fontId="3" fillId="5" borderId="1" xfId="4" applyFont="1" applyFill="1"/>
    <xf numFmtId="0" fontId="3" fillId="5" borderId="6" xfId="4" applyFont="1" applyFill="1" applyBorder="1"/>
    <xf numFmtId="0" fontId="18" fillId="6" borderId="1" xfId="2" applyFont="1" applyFill="1"/>
    <xf numFmtId="3" fontId="8" fillId="0" borderId="0" xfId="0" applyNumberFormat="1" applyFont="1"/>
    <xf numFmtId="3" fontId="8" fillId="0" borderId="3" xfId="0" applyNumberFormat="1" applyFont="1" applyBorder="1"/>
    <xf numFmtId="3" fontId="9" fillId="0" borderId="0" xfId="0" applyNumberFormat="1" applyFont="1"/>
    <xf numFmtId="0" fontId="22" fillId="6" borderId="0" xfId="0" applyFont="1" applyFill="1" applyAlignment="1">
      <alignment vertical="top"/>
    </xf>
    <xf numFmtId="0" fontId="22" fillId="6" borderId="0" xfId="0" applyFont="1" applyFill="1" applyAlignment="1">
      <alignment horizontal="right" vertical="top"/>
    </xf>
    <xf numFmtId="0" fontId="23" fillId="6" borderId="0" xfId="0" applyFont="1" applyFill="1" applyAlignment="1">
      <alignment vertical="top"/>
    </xf>
    <xf numFmtId="0" fontId="24" fillId="6" borderId="1" xfId="6" applyFont="1" applyFill="1">
      <alignment horizontal="left" vertical="top"/>
    </xf>
    <xf numFmtId="0" fontId="25" fillId="6" borderId="0" xfId="0" applyFont="1" applyFill="1" applyAlignment="1">
      <alignment horizontal="right" vertical="top"/>
    </xf>
    <xf numFmtId="0" fontId="25" fillId="6" borderId="0" xfId="0" applyFont="1" applyFill="1" applyAlignment="1">
      <alignment vertical="top"/>
    </xf>
    <xf numFmtId="0" fontId="23" fillId="6" borderId="5" xfId="0" applyFont="1" applyFill="1" applyBorder="1" applyAlignment="1">
      <alignment vertical="top"/>
    </xf>
    <xf numFmtId="0" fontId="25" fillId="6" borderId="5" xfId="0" applyFont="1" applyFill="1" applyBorder="1" applyAlignment="1">
      <alignment horizontal="right" vertical="top"/>
    </xf>
    <xf numFmtId="0" fontId="25" fillId="6" borderId="5" xfId="0" applyFont="1" applyFill="1" applyBorder="1" applyAlignment="1">
      <alignment vertical="top"/>
    </xf>
    <xf numFmtId="0" fontId="22" fillId="6" borderId="5" xfId="0" applyFont="1" applyFill="1" applyBorder="1" applyAlignment="1">
      <alignment vertical="top"/>
    </xf>
    <xf numFmtId="0" fontId="26" fillId="0" borderId="3" xfId="7" applyBorder="1"/>
    <xf numFmtId="0" fontId="5" fillId="2" borderId="0" xfId="0" applyFont="1" applyFill="1"/>
    <xf numFmtId="0" fontId="6" fillId="0" borderId="0" xfId="0" applyFont="1"/>
    <xf numFmtId="0" fontId="5" fillId="7" borderId="0" xfId="0" applyFont="1" applyFill="1"/>
    <xf numFmtId="164" fontId="3" fillId="0" borderId="0" xfId="0" applyNumberFormat="1" applyFont="1"/>
    <xf numFmtId="170" fontId="3" fillId="0" borderId="0" xfId="0" applyNumberFormat="1" applyFont="1"/>
    <xf numFmtId="1" fontId="10" fillId="4" borderId="0" xfId="1" applyNumberFormat="1" applyFont="1" applyFill="1"/>
    <xf numFmtId="171" fontId="22" fillId="0" borderId="0" xfId="0" applyNumberFormat="1" applyFont="1"/>
    <xf numFmtId="3" fontId="4" fillId="0" borderId="1" xfId="0" applyNumberFormat="1" applyFont="1" applyBorder="1"/>
    <xf numFmtId="0" fontId="29" fillId="6" borderId="0" xfId="0" applyFont="1" applyFill="1" applyAlignment="1">
      <alignment vertical="top"/>
    </xf>
    <xf numFmtId="0" fontId="29" fillId="6" borderId="0" xfId="0" applyFont="1" applyFill="1" applyAlignment="1">
      <alignment horizontal="right" vertical="top"/>
    </xf>
    <xf numFmtId="0" fontId="30" fillId="6" borderId="1" xfId="6" applyFont="1" applyFill="1">
      <alignment horizontal="left" vertical="top"/>
    </xf>
    <xf numFmtId="0" fontId="29" fillId="6" borderId="5" xfId="0" applyFont="1" applyFill="1" applyBorder="1" applyAlignment="1">
      <alignment vertical="top"/>
    </xf>
    <xf numFmtId="0" fontId="29" fillId="6" borderId="5" xfId="0" applyFont="1" applyFill="1" applyBorder="1" applyAlignment="1">
      <alignment horizontal="right" vertical="top"/>
    </xf>
    <xf numFmtId="0" fontId="31" fillId="0" borderId="0" xfId="0" applyFont="1"/>
    <xf numFmtId="0" fontId="32" fillId="3" borderId="0" xfId="0" applyFont="1" applyFill="1"/>
    <xf numFmtId="0" fontId="31" fillId="0" borderId="1" xfId="8" applyFont="1" applyAlignment="1">
      <alignment horizontal="left"/>
    </xf>
    <xf numFmtId="172" fontId="33" fillId="0" borderId="1" xfId="9" applyNumberFormat="1" applyFont="1" applyAlignment="1">
      <alignment vertical="center"/>
    </xf>
    <xf numFmtId="9" fontId="31" fillId="0" borderId="0" xfId="1" applyFont="1"/>
    <xf numFmtId="174" fontId="34" fillId="0" borderId="0" xfId="0" applyNumberFormat="1" applyFont="1"/>
    <xf numFmtId="173" fontId="34" fillId="0" borderId="0" xfId="0" applyNumberFormat="1" applyFont="1"/>
    <xf numFmtId="0" fontId="31" fillId="0" borderId="1" xfId="8" applyFont="1" applyAlignment="1">
      <alignment horizontal="center" vertical="top"/>
    </xf>
    <xf numFmtId="0" fontId="29" fillId="0" borderId="1" xfId="10" applyFont="1"/>
    <xf numFmtId="2" fontId="29" fillId="0" borderId="1" xfId="10" applyNumberFormat="1" applyFont="1"/>
    <xf numFmtId="0" fontId="35" fillId="0" borderId="0" xfId="0" applyFont="1"/>
    <xf numFmtId="0" fontId="30" fillId="7" borderId="0" xfId="0" applyFont="1" applyFill="1"/>
    <xf numFmtId="4" fontId="31" fillId="0" borderId="0" xfId="0" applyNumberFormat="1" applyFont="1"/>
    <xf numFmtId="0" fontId="27" fillId="0" borderId="0" xfId="8" applyBorder="1" applyAlignment="1">
      <alignment horizontal="center" vertical="top"/>
    </xf>
    <xf numFmtId="0" fontId="27" fillId="0" borderId="0" xfId="8" applyBorder="1" applyAlignment="1">
      <alignment horizontal="left"/>
    </xf>
    <xf numFmtId="0" fontId="27" fillId="0" borderId="0" xfId="8" applyBorder="1"/>
    <xf numFmtId="2" fontId="28" fillId="0" borderId="0" xfId="11" applyNumberFormat="1" applyBorder="1"/>
    <xf numFmtId="1" fontId="28" fillId="0" borderId="0" xfId="11" applyNumberFormat="1" applyBorder="1"/>
    <xf numFmtId="0" fontId="28" fillId="0" borderId="0" xfId="10" applyBorder="1"/>
    <xf numFmtId="175" fontId="28" fillId="0" borderId="0" xfId="10" applyNumberFormat="1" applyBorder="1"/>
    <xf numFmtId="0" fontId="28" fillId="0" borderId="0" xfId="10" applyBorder="1" applyAlignment="1">
      <alignment wrapText="1"/>
    </xf>
    <xf numFmtId="0" fontId="31" fillId="0" borderId="0" xfId="0" applyFont="1" applyAlignment="1">
      <alignment wrapText="1"/>
    </xf>
    <xf numFmtId="0" fontId="5" fillId="3" borderId="0" xfId="0" applyFont="1" applyFill="1"/>
  </cellXfs>
  <cellStyles count="12">
    <cellStyle name="Action Title" xfId="5" xr:uid="{ABC2F388-3774-47A2-B301-8BEAEE346D4A}"/>
    <cellStyle name="Hyperlink" xfId="7" builtinId="8"/>
    <cellStyle name="Normal" xfId="0" builtinId="0"/>
    <cellStyle name="Normal 11" xfId="4" xr:uid="{7CD71DAF-935C-46CD-8851-25EB3E02973F}"/>
    <cellStyle name="Normal 2" xfId="9" xr:uid="{2C546FAC-C460-46DC-91EC-09AC43EF644B}"/>
    <cellStyle name="Normal 2 2" xfId="10" xr:uid="{47E88EA8-47A3-4CDD-8D77-20A7B1227227}"/>
    <cellStyle name="Normal 24" xfId="2" xr:uid="{B311A80E-396E-4093-B62D-50741E785FFC}"/>
    <cellStyle name="Normal 3" xfId="8" xr:uid="{444A7387-FD97-4A60-9A39-D5271EBF3E23}"/>
    <cellStyle name="Normal 3 2" xfId="11" xr:uid="{7822AC39-3CC0-41A7-97CE-600352CA9940}"/>
    <cellStyle name="Normal 7" xfId="3" xr:uid="{94D339FA-EB01-4E06-9A1D-85B31F73ACC1}"/>
    <cellStyle name="Percent" xfId="1" builtinId="5"/>
    <cellStyle name="Subtitle" xfId="6" xr:uid="{88F682E3-B089-4AC2-A840-D879A43BFB1E}"/>
  </cellStyles>
  <dxfs count="0"/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Demande adressable à Monaco en 2035 (MW IT)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'3_Output'!$C$18</c:f>
              <c:strCache>
                <c:ptCount val="1"/>
                <c:pt idx="0">
                  <c:v>Bas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'3_Output'!$B$19:$B$27</c:f>
              <c:strCache>
                <c:ptCount val="9"/>
                <c:pt idx="0">
                  <c:v>DSP</c:v>
                </c:pt>
                <c:pt idx="1">
                  <c:v>Autres entités publiques (incl. APDP, Caisses sociales, DENJS, DPP)</c:v>
                </c:pt>
                <c:pt idx="2">
                  <c:v>Corps Sapeurs Pompiers</c:v>
                </c:pt>
                <c:pt idx="3">
                  <c:v>DITN</c:v>
                </c:pt>
                <c:pt idx="4">
                  <c:v>CHPG</c:v>
                </c:pt>
                <c:pt idx="5">
                  <c:v>Monaco Telecom</c:v>
                </c:pt>
                <c:pt idx="6">
                  <c:v>Finance</c:v>
                </c:pt>
                <c:pt idx="7">
                  <c:v>Privé hors finance</c:v>
                </c:pt>
                <c:pt idx="8">
                  <c:v>TOTAL</c:v>
                </c:pt>
              </c:strCache>
            </c:strRef>
          </c:cat>
          <c:val>
            <c:numRef>
              <c:f>'3_Output'!$C$19:$C$27</c:f>
              <c:numCache>
                <c:formatCode>0.00</c:formatCode>
                <c:ptCount val="9"/>
                <c:pt idx="0">
                  <c:v>0.35995367737869866</c:v>
                </c:pt>
                <c:pt idx="1">
                  <c:v>2.7975859565211779E-2</c:v>
                </c:pt>
                <c:pt idx="2">
                  <c:v>1.8518942988847351E-2</c:v>
                </c:pt>
                <c:pt idx="3">
                  <c:v>0.11190343826084712</c:v>
                </c:pt>
                <c:pt idx="4">
                  <c:v>0.12720891371023829</c:v>
                </c:pt>
                <c:pt idx="5">
                  <c:v>0.22053165393844992</c:v>
                </c:pt>
                <c:pt idx="6">
                  <c:v>0.13094827010350887</c:v>
                </c:pt>
                <c:pt idx="7">
                  <c:v>0.25183186442565469</c:v>
                </c:pt>
                <c:pt idx="8">
                  <c:v>1.2488726203714566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E42-9C0A-55DA60DEAFFE}"/>
            </c:ext>
          </c:extLst>
        </c:ser>
        <c:ser>
          <c:idx val="1"/>
          <c:order val="1"/>
          <c:tx>
            <c:strRef>
              <c:f>'3_Output'!$D$18</c:f>
              <c:strCache>
                <c:ptCount val="1"/>
                <c:pt idx="0">
                  <c:v>Central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'3_Output'!$B$19:$B$27</c:f>
              <c:strCache>
                <c:ptCount val="9"/>
                <c:pt idx="0">
                  <c:v>DSP</c:v>
                </c:pt>
                <c:pt idx="1">
                  <c:v>Autres entités publiques (incl. APDP, Caisses sociales, DENJS, DPP)</c:v>
                </c:pt>
                <c:pt idx="2">
                  <c:v>Corps Sapeurs Pompiers</c:v>
                </c:pt>
                <c:pt idx="3">
                  <c:v>DITN</c:v>
                </c:pt>
                <c:pt idx="4">
                  <c:v>CHPG</c:v>
                </c:pt>
                <c:pt idx="5">
                  <c:v>Monaco Telecom</c:v>
                </c:pt>
                <c:pt idx="6">
                  <c:v>Finance</c:v>
                </c:pt>
                <c:pt idx="7">
                  <c:v>Privé hors finance</c:v>
                </c:pt>
                <c:pt idx="8">
                  <c:v>TOTAL</c:v>
                </c:pt>
              </c:strCache>
            </c:strRef>
          </c:cat>
          <c:val>
            <c:numRef>
              <c:f>'3_Output'!$D$19:$D$27</c:f>
              <c:numCache>
                <c:formatCode>0.00</c:formatCode>
                <c:ptCount val="9"/>
                <c:pt idx="0">
                  <c:v>0.39965217711633205</c:v>
                </c:pt>
                <c:pt idx="1">
                  <c:v>4.7660945871085852E-2</c:v>
                </c:pt>
                <c:pt idx="2">
                  <c:v>2.8947341352074229E-2</c:v>
                </c:pt>
                <c:pt idx="3">
                  <c:v>0.19064378348434341</c:v>
                </c:pt>
                <c:pt idx="4">
                  <c:v>0.20561303865520011</c:v>
                </c:pt>
                <c:pt idx="5">
                  <c:v>0.3655463371397043</c:v>
                </c:pt>
                <c:pt idx="6">
                  <c:v>0.42093064713191097</c:v>
                </c:pt>
                <c:pt idx="7">
                  <c:v>0.89858810478746498</c:v>
                </c:pt>
                <c:pt idx="8">
                  <c:v>2.5575823755381157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E42-9C0A-55DA60DEAFFE}"/>
            </c:ext>
          </c:extLst>
        </c:ser>
        <c:ser>
          <c:idx val="2"/>
          <c:order val="2"/>
          <c:tx>
            <c:strRef>
              <c:f>'3_Output'!$E$18</c:f>
              <c:strCache>
                <c:ptCount val="1"/>
                <c:pt idx="0">
                  <c:v>Haut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'3_Output'!$B$19:$B$27</c:f>
              <c:strCache>
                <c:ptCount val="9"/>
                <c:pt idx="0">
                  <c:v>DSP</c:v>
                </c:pt>
                <c:pt idx="1">
                  <c:v>Autres entités publiques (incl. APDP, Caisses sociales, DENJS, DPP)</c:v>
                </c:pt>
                <c:pt idx="2">
                  <c:v>Corps Sapeurs Pompiers</c:v>
                </c:pt>
                <c:pt idx="3">
                  <c:v>DITN</c:v>
                </c:pt>
                <c:pt idx="4">
                  <c:v>CHPG</c:v>
                </c:pt>
                <c:pt idx="5">
                  <c:v>Monaco Telecom</c:v>
                </c:pt>
                <c:pt idx="6">
                  <c:v>Finance</c:v>
                </c:pt>
                <c:pt idx="7">
                  <c:v>Privé hors finance</c:v>
                </c:pt>
                <c:pt idx="8">
                  <c:v>TOTAL</c:v>
                </c:pt>
              </c:strCache>
            </c:strRef>
          </c:cat>
          <c:val>
            <c:numRef>
              <c:f>'3_Output'!$E$19:$E$27</c:f>
              <c:numCache>
                <c:formatCode>0.00</c:formatCode>
                <c:ptCount val="9"/>
                <c:pt idx="0">
                  <c:v>0.44885928755276233</c:v>
                </c:pt>
                <c:pt idx="1">
                  <c:v>6.1892463921763112E-2</c:v>
                </c:pt>
                <c:pt idx="2">
                  <c:v>7.7714820122645065E-2</c:v>
                </c:pt>
                <c:pt idx="3">
                  <c:v>0.24756985568705245</c:v>
                </c:pt>
                <c:pt idx="4">
                  <c:v>0.4953389137919999</c:v>
                </c:pt>
                <c:pt idx="5">
                  <c:v>0.46213039728249794</c:v>
                </c:pt>
                <c:pt idx="6">
                  <c:v>1.1164375036740244</c:v>
                </c:pt>
                <c:pt idx="7">
                  <c:v>2.0333531172216834</c:v>
                </c:pt>
                <c:pt idx="8">
                  <c:v>4.943296359254429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5-4E42-9C0A-55DA60DEA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>
          <a:latin typeface="RB Office" panose="00000600000000000000" pitchFamily="2" charset="0"/>
          <a:ea typeface="RB Office" panose="000006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6458</xdr:colOff>
      <xdr:row>11</xdr:row>
      <xdr:rowOff>131</xdr:rowOff>
    </xdr:from>
    <xdr:to>
      <xdr:col>5</xdr:col>
      <xdr:colOff>192802</xdr:colOff>
      <xdr:row>14</xdr:row>
      <xdr:rowOff>55454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EF23E-2177-4320-8BE7-C297163C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678" y="3208151"/>
          <a:ext cx="2880014" cy="6309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44825</xdr:colOff>
      <xdr:row>13</xdr:row>
      <xdr:rowOff>173140</xdr:rowOff>
    </xdr:from>
    <xdr:to>
      <xdr:col>3</xdr:col>
      <xdr:colOff>993738</xdr:colOff>
      <xdr:row>21</xdr:row>
      <xdr:rowOff>78796</xdr:rowOff>
    </xdr:to>
    <xdr:pic>
      <xdr:nvPicPr>
        <xdr:cNvPr id="3" name="Picture 2" descr="Nos collaborateurs | Roland Berger">
          <a:extLst>
            <a:ext uri="{FF2B5EF4-FFF2-40B4-BE49-F238E27FC236}">
              <a16:creationId xmlns:a16="http://schemas.microsoft.com/office/drawing/2014/main" id="{EE64C21C-5663-4BC2-A89E-106D3355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85" y="3762160"/>
          <a:ext cx="1194658" cy="143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125178</xdr:colOff>
      <xdr:row>6</xdr:row>
      <xdr:rowOff>15440</xdr:rowOff>
    </xdr:from>
    <xdr:to>
      <xdr:col>18</xdr:col>
      <xdr:colOff>190499</xdr:colOff>
      <xdr:row>27</xdr:row>
      <xdr:rowOff>15440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RB_Teal">
      <a:dk1>
        <a:srgbClr val="000000"/>
      </a:dk1>
      <a:lt1>
        <a:srgbClr val="FFFFFF"/>
      </a:lt1>
      <a:dk2>
        <a:srgbClr val="787878"/>
      </a:dk2>
      <a:lt2>
        <a:srgbClr val="C8C8C8"/>
      </a:lt2>
      <a:accent1>
        <a:srgbClr val="C8FFFA"/>
      </a:accent1>
      <a:accent2>
        <a:srgbClr val="81FFF4"/>
      </a:accent2>
      <a:accent3>
        <a:srgbClr val="00D4C4"/>
      </a:accent3>
      <a:accent4>
        <a:srgbClr val="008080"/>
      </a:accent4>
      <a:accent5>
        <a:srgbClr val="003B46"/>
      </a:accent5>
      <a:accent6>
        <a:srgbClr val="001E2F"/>
      </a:accent6>
      <a:hlink>
        <a:srgbClr val="787878"/>
      </a:hlink>
      <a:folHlink>
        <a:srgbClr val="78787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xis.com/en-be/products/axis-surveillance-card-256-gb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CD5E-37BF-4ADD-8523-5C77AAB7AF39}">
  <sheetPr>
    <tabColor theme="9"/>
  </sheetPr>
  <dimension ref="A1:AR9"/>
  <sheetViews>
    <sheetView showGridLines="0" zoomScale="85" zoomScaleNormal="85" workbookViewId="0">
      <selection activeCell="F20" sqref="F20"/>
    </sheetView>
  </sheetViews>
  <sheetFormatPr defaultColWidth="8" defaultRowHeight="15"/>
  <cols>
    <col min="1" max="1" width="1.5" style="51" customWidth="1"/>
    <col min="2" max="3" width="3.19921875" style="51" customWidth="1"/>
    <col min="4" max="4" width="27.3984375" style="51" customWidth="1"/>
    <col min="5" max="5" width="8" style="51"/>
    <col min="6" max="6" width="46.69921875" style="51" bestFit="1" customWidth="1"/>
    <col min="7" max="16384" width="8" style="51"/>
  </cols>
  <sheetData>
    <row r="1" spans="1:44" s="41" customFormat="1" ht="13.95" customHeight="1">
      <c r="A1" s="39"/>
      <c r="B1" s="39"/>
      <c r="C1" s="39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44" s="41" customFormat="1" ht="13.95" customHeight="1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44" s="41" customFormat="1" ht="13.95" customHeight="1">
      <c r="A3" s="39"/>
      <c r="B3" s="39"/>
      <c r="C3" s="39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</row>
    <row r="4" spans="1:44" s="41" customFormat="1" ht="48.6">
      <c r="A4" s="39"/>
      <c r="B4" s="42"/>
      <c r="C4" s="42"/>
      <c r="D4" s="43" t="s">
        <v>0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44" s="41" customFormat="1" ht="45.6" customHeight="1">
      <c r="A5" s="39"/>
      <c r="B5" s="39"/>
      <c r="C5" s="39"/>
      <c r="D5" s="44" t="s">
        <v>1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44" s="41" customFormat="1" ht="31.35" customHeight="1">
      <c r="A6" s="39"/>
      <c r="B6" s="39"/>
      <c r="C6" s="39"/>
      <c r="D6" s="45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7" spans="1:44" s="41" customFormat="1" ht="28.2">
      <c r="A7" s="39"/>
      <c r="B7" s="39"/>
      <c r="C7" s="39"/>
      <c r="D7" s="46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44" s="41" customFormat="1" ht="13.95" customHeight="1">
      <c r="A8" s="47"/>
      <c r="B8" s="47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0"/>
      <c r="AO8" s="40"/>
      <c r="AP8" s="40"/>
      <c r="AQ8" s="40"/>
      <c r="AR8" s="40"/>
    </row>
    <row r="9" spans="1:44" s="50" customFormat="1" ht="13.95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</row>
  </sheetData>
  <pageMargins left="0.7" right="0.7" top="0.75" bottom="0.75" header="0.3" footer="0.3"/>
  <pageSetup paperSize="9" orientation="portrait" r:id="rId1"/>
  <headerFooter>
    <oddHeader>&amp;L&amp;"Aptos"&amp;10&amp;K000000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1D9D-0786-47A1-8979-1D1FCF0F4570}">
  <dimension ref="B1:S80"/>
  <sheetViews>
    <sheetView topLeftCell="A43" workbookViewId="0">
      <selection activeCell="Q87" sqref="Q87"/>
    </sheetView>
  </sheetViews>
  <sheetFormatPr defaultRowHeight="12.6"/>
  <cols>
    <col min="1" max="1" width="8.796875" style="79"/>
    <col min="2" max="2" width="4" style="79" customWidth="1"/>
    <col min="3" max="3" width="3.59765625" style="79" customWidth="1"/>
    <col min="4" max="4" width="14.09765625" style="79" customWidth="1"/>
    <col min="5" max="16384" width="8.796875" style="79"/>
  </cols>
  <sheetData>
    <row r="1" spans="2:18" s="74" customFormat="1" ht="10.199999999999999" customHeight="1">
      <c r="D1" s="75"/>
      <c r="E1" s="75"/>
      <c r="F1" s="75"/>
      <c r="G1" s="75"/>
      <c r="H1" s="75"/>
      <c r="J1" s="75"/>
      <c r="K1" s="75"/>
      <c r="L1" s="75"/>
      <c r="M1" s="75"/>
      <c r="N1" s="75"/>
      <c r="O1" s="75"/>
    </row>
    <row r="2" spans="2:18" s="74" customFormat="1" ht="34.200000000000003" customHeight="1">
      <c r="B2" s="76" t="s">
        <v>155</v>
      </c>
      <c r="E2" s="76"/>
      <c r="F2" s="75"/>
      <c r="G2" s="75"/>
      <c r="H2" s="75"/>
      <c r="J2" s="75"/>
      <c r="K2" s="75"/>
      <c r="L2" s="75"/>
      <c r="M2" s="75"/>
      <c r="N2" s="75"/>
      <c r="O2" s="75"/>
    </row>
    <row r="3" spans="2:18" s="74" customFormat="1" ht="15.6" customHeight="1">
      <c r="D3" s="76"/>
      <c r="E3" s="76"/>
      <c r="F3" s="75"/>
      <c r="G3" s="75"/>
      <c r="H3" s="75"/>
      <c r="J3" s="75"/>
      <c r="K3" s="75"/>
      <c r="L3" s="75"/>
      <c r="M3" s="75"/>
      <c r="N3" s="75"/>
      <c r="O3" s="75"/>
    </row>
    <row r="4" spans="2:18" s="77" customFormat="1" ht="15" customHeight="1">
      <c r="D4" s="78"/>
      <c r="E4" s="78"/>
      <c r="F4" s="78"/>
      <c r="G4" s="78"/>
      <c r="H4" s="78"/>
      <c r="J4" s="78"/>
      <c r="K4" s="78"/>
      <c r="L4" s="78"/>
      <c r="M4" s="78"/>
      <c r="N4" s="78"/>
      <c r="O4" s="78"/>
    </row>
    <row r="6" spans="2:18" ht="16.2" customHeight="1">
      <c r="B6" s="80" t="s">
        <v>3</v>
      </c>
      <c r="D6" s="80" t="s">
        <v>160</v>
      </c>
      <c r="E6" s="80"/>
      <c r="F6" s="80"/>
      <c r="G6" s="80"/>
      <c r="H6" s="80"/>
      <c r="I6" s="80"/>
      <c r="J6" s="80"/>
      <c r="K6" s="80"/>
      <c r="L6" s="80"/>
      <c r="M6" s="80"/>
      <c r="N6" s="80"/>
    </row>
    <row r="8" spans="2:18">
      <c r="E8" s="79">
        <v>2026</v>
      </c>
      <c r="F8" s="79">
        <f>E8+1</f>
        <v>2027</v>
      </c>
      <c r="G8" s="79">
        <f t="shared" ref="G8:N8" si="0">F8+1</f>
        <v>2028</v>
      </c>
      <c r="H8" s="79">
        <f t="shared" si="0"/>
        <v>2029</v>
      </c>
      <c r="I8" s="79">
        <f t="shared" si="0"/>
        <v>2030</v>
      </c>
      <c r="J8" s="79">
        <f t="shared" si="0"/>
        <v>2031</v>
      </c>
      <c r="K8" s="79">
        <f t="shared" si="0"/>
        <v>2032</v>
      </c>
      <c r="L8" s="79">
        <f t="shared" si="0"/>
        <v>2033</v>
      </c>
      <c r="M8" s="79">
        <f t="shared" si="0"/>
        <v>2034</v>
      </c>
      <c r="N8" s="79">
        <f t="shared" si="0"/>
        <v>2035</v>
      </c>
      <c r="P8" s="79" t="s">
        <v>159</v>
      </c>
    </row>
    <row r="10" spans="2:18">
      <c r="D10" s="81" t="s">
        <v>156</v>
      </c>
      <c r="E10" s="82">
        <f>'3_Output'!$C$8</f>
        <v>2.4703199999999996</v>
      </c>
      <c r="F10" s="82">
        <f>E10*(1+_xlfn.RRI($N$8-$E$8,'3_Output'!$C$8,'3_Output'!$C$9))</f>
        <v>2.6153557659908642</v>
      </c>
      <c r="G10" s="82">
        <f>F10*(1+_xlfn.RRI($N$8-$E$8,'3_Output'!$C$8,'3_Output'!$C$9))</f>
        <v>2.7689067743052158</v>
      </c>
      <c r="H10" s="82">
        <f>G10*(1+_xlfn.RRI($N$8-$E$8,'3_Output'!$C$8,'3_Output'!$C$9))</f>
        <v>2.9314729661219241</v>
      </c>
      <c r="I10" s="82">
        <f>H10*(1+_xlfn.RRI($N$8-$E$8,'3_Output'!$C$8,'3_Output'!$C$9))</f>
        <v>3.1035836348300285</v>
      </c>
      <c r="J10" s="82">
        <f>I10*(1+_xlfn.RRI($N$8-$E$8,'3_Output'!$C$8,'3_Output'!$C$9))</f>
        <v>3.2857991493359568</v>
      </c>
      <c r="K10" s="82">
        <f>J10*(1+_xlfn.RRI($N$8-$E$8,'3_Output'!$C$8,'3_Output'!$C$9))</f>
        <v>3.4787127785483953</v>
      </c>
      <c r="L10" s="82">
        <f>K10*(1+_xlfn.RRI($N$8-$E$8,'3_Output'!$C$8,'3_Output'!$C$9))</f>
        <v>3.6829526229810905</v>
      </c>
      <c r="M10" s="82">
        <f>L10*(1+_xlfn.RRI($N$8-$E$8,'3_Output'!$C$8,'3_Output'!$C$9))</f>
        <v>3.8991836597626111</v>
      </c>
      <c r="N10" s="82">
        <f>M10*(1+_xlfn.RRI($N$8-$E$8,'3_Output'!$C$8,'3_Output'!$C$9))</f>
        <v>4.1281099077113517</v>
      </c>
      <c r="P10" s="83">
        <f>_xlfn.RRI($N$8-$E$8,E10,N10)</f>
        <v>5.8711327273739622E-2</v>
      </c>
      <c r="R10" s="79" t="b">
        <f>N10='3_Output'!C9</f>
        <v>1</v>
      </c>
    </row>
    <row r="11" spans="2:18">
      <c r="D11" s="81" t="s">
        <v>157</v>
      </c>
      <c r="E11" s="82">
        <f>'3_Output'!$C$8</f>
        <v>2.4703199999999996</v>
      </c>
      <c r="F11" s="82">
        <f>E11*(1+_xlfn.RRI($N$8-$E$8,'3_Output'!$D$8,'3_Output'!$D$9))</f>
        <v>2.7603971206037694</v>
      </c>
      <c r="G11" s="82">
        <f>F11*(1+_xlfn.RRI($N$8-$E$8,'3_Output'!$D$8,'3_Output'!$D$9))</f>
        <v>3.0845365229758017</v>
      </c>
      <c r="H11" s="82">
        <f>G11*(1+_xlfn.RRI($N$8-$E$8,'3_Output'!$D$8,'3_Output'!$D$9))</f>
        <v>3.446737967720606</v>
      </c>
      <c r="I11" s="82">
        <f>H11*(1+_xlfn.RRI($N$8-$E$8,'3_Output'!$D$8,'3_Output'!$D$9))</f>
        <v>3.8514708869991137</v>
      </c>
      <c r="J11" s="82">
        <f>I11*(1+_xlfn.RRI($N$8-$E$8,'3_Output'!$D$8,'3_Output'!$D$9))</f>
        <v>4.3037295356721401</v>
      </c>
      <c r="K11" s="82">
        <f>J11*(1+_xlfn.RRI($N$8-$E$8,'3_Output'!$D$8,'3_Output'!$D$9))</f>
        <v>4.8090946185622814</v>
      </c>
      <c r="L11" s="82">
        <f>K11*(1+_xlfn.RRI($N$8-$E$8,'3_Output'!$D$8,'3_Output'!$D$9))</f>
        <v>5.3738021542919165</v>
      </c>
      <c r="M11" s="82">
        <f>L11*(1+_xlfn.RRI($N$8-$E$8,'3_Output'!$D$8,'3_Output'!$D$9))</f>
        <v>6.0048204254516593</v>
      </c>
      <c r="N11" s="82">
        <f>M11*(1+_xlfn.RRI($N$8-$E$8,'3_Output'!$D$8,'3_Output'!$D$9))</f>
        <v>6.7099359646359442</v>
      </c>
      <c r="P11" s="83">
        <f t="shared" ref="P11:P12" si="1">_xlfn.RRI($N$8-$E$8,E11,N11)</f>
        <v>0.11742491685440348</v>
      </c>
      <c r="R11" s="84" t="b">
        <f>N11='3_Output'!D9</f>
        <v>0</v>
      </c>
    </row>
    <row r="12" spans="2:18">
      <c r="D12" s="81" t="s">
        <v>158</v>
      </c>
      <c r="E12" s="82">
        <f>'3_Output'!$C$8</f>
        <v>2.4703199999999996</v>
      </c>
      <c r="F12" s="82">
        <f>E12*(1+_xlfn.RRI($N$8-$E$8,'3_Output'!$E$8,'3_Output'!$E$9))</f>
        <v>2.8509499185238778</v>
      </c>
      <c r="G12" s="82">
        <f>F12*(1+_xlfn.RRI($N$8-$E$8,'3_Output'!$E$8,'3_Output'!$E$9))</f>
        <v>3.2902277591289009</v>
      </c>
      <c r="H12" s="82">
        <f>G12*(1+_xlfn.RRI($N$8-$E$8,'3_Output'!$E$8,'3_Output'!$E$9))</f>
        <v>3.7971900651792247</v>
      </c>
      <c r="I12" s="82">
        <f>H12*(1+_xlfn.RRI($N$8-$E$8,'3_Output'!$E$8,'3_Output'!$E$9))</f>
        <v>4.3822657416619668</v>
      </c>
      <c r="J12" s="82">
        <f>I12*(1+_xlfn.RRI($N$8-$E$8,'3_Output'!$E$8,'3_Output'!$E$9))</f>
        <v>5.0574905919642665</v>
      </c>
      <c r="K12" s="82">
        <f>J12*(1+_xlfn.RRI($N$8-$E$8,'3_Output'!$E$8,'3_Output'!$E$9))</f>
        <v>5.8367549107386116</v>
      </c>
      <c r="L12" s="82">
        <f>K12*(1+_xlfn.RRI($N$8-$E$8,'3_Output'!$E$8,'3_Output'!$E$9))</f>
        <v>6.7360892261788319</v>
      </c>
      <c r="M12" s="82">
        <f>L12*(1+_xlfn.RRI($N$8-$E$8,'3_Output'!$E$8,'3_Output'!$E$9))</f>
        <v>7.773994069814484</v>
      </c>
      <c r="N12" s="82">
        <f>M12*(1+_xlfn.RRI($N$8-$E$8,'3_Output'!$E$8,'3_Output'!$E$9))</f>
        <v>8.9718205576373578</v>
      </c>
      <c r="P12" s="83">
        <f t="shared" si="1"/>
        <v>0.15408121964922694</v>
      </c>
      <c r="R12" s="85" t="b">
        <f>N12='3_Output'!E9</f>
        <v>1</v>
      </c>
    </row>
    <row r="15" spans="2:18" ht="16.2" customHeight="1">
      <c r="B15" s="80" t="s">
        <v>27</v>
      </c>
      <c r="D15" s="80" t="s">
        <v>160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</row>
    <row r="17" spans="2:18">
      <c r="F17" s="89" t="s">
        <v>118</v>
      </c>
      <c r="G17" s="89" t="s">
        <v>131</v>
      </c>
      <c r="H17" s="89" t="s">
        <v>166</v>
      </c>
    </row>
    <row r="18" spans="2:18">
      <c r="D18" s="81"/>
      <c r="E18" s="86">
        <v>2026</v>
      </c>
      <c r="F18" s="86" t="s">
        <v>161</v>
      </c>
      <c r="G18" s="86" t="s">
        <v>162</v>
      </c>
      <c r="H18" s="86" t="s">
        <v>163</v>
      </c>
    </row>
    <row r="20" spans="2:18">
      <c r="D20" s="87" t="s">
        <v>164</v>
      </c>
      <c r="E20" s="88">
        <f>SUM('2_Calculs'!F14:F16)/10^3</f>
        <v>2.2003199999999996</v>
      </c>
      <c r="F20" s="88">
        <f>SUMIFS('2_Calculs'!$L:$L,'2_Calculs'!$B:$B,F$17,'2_Calculs'!$C:$C,$D20)/10^3</f>
        <v>3.4353129173755197</v>
      </c>
      <c r="G20" s="88">
        <f>SUMIFS('2_Calculs'!$L:$L,'2_Calculs'!$B:$B,G$17,'2_Calculs'!$C:$C,$D20)/10^3</f>
        <v>5.789390203671827</v>
      </c>
      <c r="H20" s="88">
        <f>SUMIFS('2_Calculs'!$L:$L,'2_Calculs'!$B:$B,H$17,'2_Calculs'!$C:$C,$D20)/10^3</f>
        <v>7.6404452165611367</v>
      </c>
    </row>
    <row r="21" spans="2:18">
      <c r="D21" s="87" t="s">
        <v>165</v>
      </c>
      <c r="E21" s="88">
        <f>SUM('2_Calculs'!F9:F13)/10^3</f>
        <v>0.27</v>
      </c>
      <c r="F21" s="88">
        <f>SUMIFS('2_Calculs'!$L:$L,'2_Calculs'!$B:$B,F$17,'2_Calculs'!$C:$C,$D21)/10^3</f>
        <v>0.69279699033583175</v>
      </c>
      <c r="G21" s="88">
        <f>SUMIFS('2_Calculs'!$L:$L,'2_Calculs'!$B:$B,G$17,'2_Calculs'!$C:$C,$D21)/10^3</f>
        <v>0.92054576096412022</v>
      </c>
      <c r="H21" s="88">
        <f>SUMIFS('2_Calculs'!$L:$L,'2_Calculs'!$B:$B,H$17,'2_Calculs'!$C:$C,$D21)/10^3</f>
        <v>1.3313753410762228</v>
      </c>
    </row>
    <row r="24" spans="2:18" ht="16.2" customHeight="1">
      <c r="B24" s="80" t="s">
        <v>60</v>
      </c>
      <c r="D24" s="80" t="s">
        <v>165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</row>
    <row r="26" spans="2:18">
      <c r="B26" s="90">
        <v>1</v>
      </c>
      <c r="D26" s="90" t="s">
        <v>167</v>
      </c>
      <c r="E26" s="90"/>
      <c r="F26" s="90"/>
      <c r="G26" s="90"/>
      <c r="H26" s="90"/>
      <c r="I26" s="90"/>
      <c r="J26" s="90"/>
      <c r="K26" s="90"/>
      <c r="L26" s="90"/>
      <c r="M26" s="90"/>
      <c r="N26" s="90"/>
    </row>
    <row r="28" spans="2:18" ht="14.4">
      <c r="D28" s="93"/>
      <c r="E28" s="92">
        <v>2026</v>
      </c>
      <c r="F28" s="92">
        <v>2027</v>
      </c>
      <c r="G28" s="92">
        <v>2028</v>
      </c>
      <c r="H28" s="92">
        <v>2029</v>
      </c>
      <c r="I28" s="92">
        <v>2030</v>
      </c>
      <c r="J28" s="92">
        <v>2031</v>
      </c>
      <c r="K28" s="92">
        <v>2032</v>
      </c>
      <c r="L28" s="92">
        <v>2033</v>
      </c>
      <c r="M28" s="92">
        <v>2034</v>
      </c>
      <c r="N28" s="92">
        <v>2035</v>
      </c>
      <c r="P28" s="79" t="s">
        <v>159</v>
      </c>
    </row>
    <row r="30" spans="2:18" ht="14.4">
      <c r="D30" s="94" t="s">
        <v>156</v>
      </c>
      <c r="E30" s="96">
        <f>SUM('2_Calculs'!$F$9:$F$13)</f>
        <v>270</v>
      </c>
      <c r="F30" s="96">
        <f>E30*(1+_xlfn.RRI($N$28-$E$28,$E$30,SUM('2_Calculs'!$L$59:$L$63)))</f>
        <v>299.80241220069865</v>
      </c>
      <c r="G30" s="96">
        <f>F30*(1+_xlfn.RRI($N$28-$E$28,$E$30,SUM('2_Calculs'!$L$59:$L$63)))</f>
        <v>332.89439393095415</v>
      </c>
      <c r="H30" s="96">
        <f>G30*(1+_xlfn.RRI($N$28-$E$28,$E$30,SUM('2_Calculs'!$L$59:$L$63)))</f>
        <v>369.63904558736914</v>
      </c>
      <c r="I30" s="96">
        <f>H30*(1+_xlfn.RRI($N$28-$E$28,$E$30,SUM('2_Calculs'!$L$59:$L$63)))</f>
        <v>410.43954633576772</v>
      </c>
      <c r="J30" s="96">
        <f>I30*(1+_xlfn.RRI($N$28-$E$28,$E$30,SUM('2_Calculs'!$L$59:$L$63)))</f>
        <v>455.74357797786513</v>
      </c>
      <c r="K30" s="96">
        <f>J30*(1+_xlfn.RRI($N$28-$E$28,$E$30,SUM('2_Calculs'!$L$59:$L$63)))</f>
        <v>506.04823712126358</v>
      </c>
      <c r="L30" s="96">
        <f>K30*(1+_xlfn.RRI($N$28-$E$28,$E$30,SUM('2_Calculs'!$L$59:$L$63)))</f>
        <v>561.90548955135534</v>
      </c>
      <c r="M30" s="96">
        <f>L30*(1+_xlfn.RRI($N$28-$E$28,$E$30,SUM('2_Calculs'!$L$59:$L$63)))</f>
        <v>623.92822665300298</v>
      </c>
      <c r="N30" s="96">
        <f>M30*(1+_xlfn.RRI($N$28-$E$28,$E$30,SUM('2_Calculs'!$L$59:$L$63)))</f>
        <v>692.79699033583165</v>
      </c>
      <c r="P30" s="83">
        <f>_xlfn.RRI($N$8-$E$8,E30,N30)</f>
        <v>0.11037930444703203</v>
      </c>
      <c r="R30" s="79" t="b">
        <f>N30=SUM('2_Calculs'!L59:L63)</f>
        <v>1</v>
      </c>
    </row>
    <row r="31" spans="2:18" ht="14.4">
      <c r="D31" s="94" t="s">
        <v>169</v>
      </c>
      <c r="E31" s="96">
        <f>SUM('2_Calculs'!$F$9:$F$13)</f>
        <v>270</v>
      </c>
      <c r="F31" s="96">
        <f>E31*(1+_xlfn.RRI($N$28-$E$28,$E$30,SUM('2_Calculs'!$L$74:$L$78)))</f>
        <v>309.42158798074445</v>
      </c>
      <c r="G31" s="96">
        <f>F31*(1+_xlfn.RRI($N$28-$E$28,$E$30,SUM('2_Calculs'!$L$74:$L$78)))</f>
        <v>354.59895966120581</v>
      </c>
      <c r="H31" s="96">
        <f>G31*(1+_xlfn.RRI($N$28-$E$28,$E$30,SUM('2_Calculs'!$L$74:$L$78)))</f>
        <v>406.37249331366758</v>
      </c>
      <c r="I31" s="96">
        <f>H31*(1+_xlfn.RRI($N$28-$E$28,$E$30,SUM('2_Calculs'!$L$74:$L$78)))</f>
        <v>465.70526738077581</v>
      </c>
      <c r="J31" s="96">
        <f>I31*(1+_xlfn.RRI($N$28-$E$28,$E$30,SUM('2_Calculs'!$L$74:$L$78)))</f>
        <v>533.70097542206236</v>
      </c>
      <c r="K31" s="96">
        <f>J31*(1+_xlfn.RRI($N$28-$E$28,$E$30,SUM('2_Calculs'!$L$74:$L$78)))</f>
        <v>611.62445674802518</v>
      </c>
      <c r="L31" s="96">
        <f>K31*(1+_xlfn.RRI($N$28-$E$28,$E$30,SUM('2_Calculs'!$L$74:$L$78)))</f>
        <v>700.9252246475337</v>
      </c>
      <c r="M31" s="96">
        <f>L31*(1+_xlfn.RRI($N$28-$E$28,$E$30,SUM('2_Calculs'!$L$74:$L$78)))</f>
        <v>803.26442987481448</v>
      </c>
      <c r="N31" s="96">
        <f>M31*(1+_xlfn.RRI($N$28-$E$28,$E$30,SUM('2_Calculs'!$L$74:$L$78)))</f>
        <v>920.54576096412006</v>
      </c>
      <c r="P31" s="83">
        <f>_xlfn.RRI($N$8-$E$8,E31,N31)</f>
        <v>0.14600588141016457</v>
      </c>
      <c r="R31" s="84" t="b">
        <f>N31=SUM('2_Calculs'!L74:L78)</f>
        <v>1</v>
      </c>
    </row>
    <row r="32" spans="2:18" ht="14.4">
      <c r="D32" s="94" t="s">
        <v>158</v>
      </c>
      <c r="E32" s="96">
        <f>SUM('2_Calculs'!$F$9:$F$13)</f>
        <v>270</v>
      </c>
      <c r="F32" s="96">
        <f>E32*(1+_xlfn.RRI($N$28-$E$28,$E$30,SUM('2_Calculs'!$L$89:$L$93)))</f>
        <v>322.37157109876165</v>
      </c>
      <c r="G32" s="96">
        <f>F32*(1+_xlfn.RRI($N$28-$E$28,$E$30,SUM('2_Calculs'!$L$89:$L$93)))</f>
        <v>384.9015920469775</v>
      </c>
      <c r="H32" s="96">
        <f>G32*(1+_xlfn.RRI($N$28-$E$28,$E$30,SUM('2_Calculs'!$L$89:$L$93)))</f>
        <v>459.56048498740279</v>
      </c>
      <c r="I32" s="96">
        <f>H32*(1+_xlfn.RRI($N$28-$E$28,$E$30,SUM('2_Calculs'!$L$89:$L$93)))</f>
        <v>548.7008724455477</v>
      </c>
      <c r="J32" s="96">
        <f>I32*(1+_xlfn.RRI($N$28-$E$28,$E$30,SUM('2_Calculs'!$L$89:$L$93)))</f>
        <v>655.13171227234227</v>
      </c>
      <c r="K32" s="96">
        <f>J32*(1+_xlfn.RRI($N$28-$E$28,$E$30,SUM('2_Calculs'!$L$89:$L$93)))</f>
        <v>782.20681245132164</v>
      </c>
      <c r="L32" s="96">
        <f>K32*(1+_xlfn.RRI($N$28-$E$28,$E$30,SUM('2_Calculs'!$L$89:$L$93)))</f>
        <v>933.93051501513685</v>
      </c>
      <c r="M32" s="96">
        <f>L32*(1+_xlfn.RRI($N$28-$E$28,$E$30,SUM('2_Calculs'!$L$89:$L$93)))</f>
        <v>1115.0838793426121</v>
      </c>
      <c r="N32" s="96">
        <f>M32*(1+_xlfn.RRI($N$28-$E$28,$E$30,SUM('2_Calculs'!$L$89:$L$93)))</f>
        <v>1331.3753410762215</v>
      </c>
      <c r="P32" s="83">
        <f>_xlfn.RRI($N$8-$E$8,E32,N32)</f>
        <v>0.19396878184726529</v>
      </c>
      <c r="R32" s="85" t="b">
        <f>N32=SUM('2_Calculs'!L89:L93)</f>
        <v>1</v>
      </c>
    </row>
    <row r="34" spans="2:19">
      <c r="B34" s="90">
        <v>2</v>
      </c>
      <c r="D34" s="90" t="s">
        <v>168</v>
      </c>
      <c r="E34" s="90"/>
      <c r="F34" s="90"/>
      <c r="G34" s="90"/>
      <c r="H34" s="90"/>
      <c r="I34" s="90"/>
      <c r="J34" s="90"/>
      <c r="K34" s="90"/>
      <c r="L34" s="90"/>
      <c r="M34" s="90"/>
      <c r="N34" s="90"/>
    </row>
    <row r="36" spans="2:19" ht="14.4">
      <c r="D36" s="93"/>
      <c r="E36" s="92" t="s">
        <v>166</v>
      </c>
    </row>
    <row r="37" spans="2:19" ht="14.4">
      <c r="D37" s="94"/>
      <c r="E37" s="94"/>
      <c r="F37" s="95"/>
      <c r="G37" s="95"/>
      <c r="H37" s="95"/>
      <c r="I37" s="95"/>
      <c r="J37" s="95"/>
      <c r="K37" s="95"/>
      <c r="L37" s="95"/>
      <c r="M37" s="95"/>
      <c r="N37" s="95"/>
    </row>
    <row r="38" spans="2:19" ht="14.4">
      <c r="D38" s="97" t="s">
        <v>14</v>
      </c>
      <c r="E38" s="98">
        <f>'2_Calculs'!L92</f>
        <v>247.56985568705244</v>
      </c>
      <c r="F38" s="92"/>
      <c r="G38" s="92"/>
      <c r="H38" s="92"/>
      <c r="I38" s="92"/>
      <c r="J38" s="92"/>
      <c r="K38" s="92"/>
      <c r="L38" s="92"/>
      <c r="M38" s="92"/>
      <c r="N38" s="92"/>
    </row>
    <row r="39" spans="2:19" ht="14.4">
      <c r="D39" s="99" t="s">
        <v>170</v>
      </c>
      <c r="E39" s="98">
        <f>'2_Calculs'!L91</f>
        <v>77.714820122645065</v>
      </c>
    </row>
    <row r="40" spans="2:19" ht="14.4">
      <c r="D40" s="97" t="s">
        <v>9</v>
      </c>
      <c r="E40" s="98">
        <f>'2_Calculs'!L89</f>
        <v>448.85928755276234</v>
      </c>
      <c r="F40" s="95"/>
      <c r="G40" s="95"/>
      <c r="H40" s="95"/>
      <c r="I40" s="95"/>
      <c r="J40" s="95"/>
      <c r="K40" s="95"/>
      <c r="L40" s="95"/>
      <c r="M40" s="95"/>
      <c r="N40" s="95"/>
    </row>
    <row r="41" spans="2:19" ht="14.4">
      <c r="D41" s="97" t="s">
        <v>15</v>
      </c>
      <c r="E41" s="98">
        <f>'2_Calculs'!L93</f>
        <v>495.33891379199991</v>
      </c>
      <c r="F41" s="95"/>
      <c r="G41" s="95"/>
      <c r="H41" s="95"/>
      <c r="I41" s="95"/>
      <c r="J41" s="95"/>
      <c r="K41" s="95"/>
      <c r="L41" s="95"/>
      <c r="M41" s="95"/>
      <c r="N41" s="95"/>
    </row>
    <row r="42" spans="2:19" ht="14.4">
      <c r="D42" s="97" t="s">
        <v>171</v>
      </c>
      <c r="E42" s="98">
        <f>'2_Calculs'!L90</f>
        <v>61.89246392176311</v>
      </c>
      <c r="F42" s="95"/>
      <c r="G42" s="95"/>
      <c r="H42" s="95"/>
      <c r="I42" s="95"/>
      <c r="J42" s="95"/>
      <c r="K42" s="95"/>
      <c r="L42" s="95"/>
      <c r="M42" s="95"/>
      <c r="N42" s="95"/>
    </row>
    <row r="43" spans="2:19" ht="14.4">
      <c r="D43" s="99"/>
      <c r="E43" s="98"/>
    </row>
    <row r="46" spans="2:19" ht="16.2" customHeight="1">
      <c r="B46" s="80" t="s">
        <v>81</v>
      </c>
      <c r="D46" s="80" t="s">
        <v>164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</row>
    <row r="47" spans="2:19">
      <c r="R47" s="79">
        <v>500</v>
      </c>
      <c r="S47" s="79">
        <f>0.438</f>
        <v>0.438</v>
      </c>
    </row>
    <row r="48" spans="2:19">
      <c r="B48" s="90">
        <v>1</v>
      </c>
      <c r="D48" s="90" t="s">
        <v>167</v>
      </c>
      <c r="E48" s="90"/>
      <c r="F48" s="90"/>
      <c r="G48" s="90"/>
      <c r="H48" s="90"/>
      <c r="I48" s="90"/>
      <c r="J48" s="90"/>
      <c r="K48" s="90"/>
      <c r="L48" s="90"/>
      <c r="M48" s="90"/>
      <c r="N48" s="90"/>
      <c r="R48" s="91">
        <f>R47/S47</f>
        <v>1141.552511415525</v>
      </c>
      <c r="S48" s="79">
        <v>1</v>
      </c>
    </row>
    <row r="50" spans="2:18" ht="14.4">
      <c r="D50" s="93"/>
      <c r="E50" s="92">
        <v>2026</v>
      </c>
      <c r="F50" s="92">
        <v>2027</v>
      </c>
      <c r="G50" s="92">
        <v>2028</v>
      </c>
      <c r="H50" s="92">
        <v>2029</v>
      </c>
      <c r="I50" s="92">
        <v>2030</v>
      </c>
      <c r="J50" s="92">
        <v>2031</v>
      </c>
      <c r="K50" s="92">
        <v>2032</v>
      </c>
      <c r="L50" s="92">
        <v>2033</v>
      </c>
      <c r="M50" s="92">
        <v>2034</v>
      </c>
      <c r="N50" s="92">
        <v>2035</v>
      </c>
      <c r="P50" s="79" t="s">
        <v>159</v>
      </c>
    </row>
    <row r="52" spans="2:18" ht="14.4">
      <c r="D52" s="93" t="s">
        <v>156</v>
      </c>
      <c r="E52" s="96">
        <f>SUM('2_Calculs'!$F$14:$F$16)</f>
        <v>2200.3199999999997</v>
      </c>
      <c r="F52" s="96">
        <f>E52*(1+_xlfn.RRI($N$28-$E$28,$E$52,SUM('2_Calculs'!$L$64:$L$66)))</f>
        <v>2311.9778808558849</v>
      </c>
      <c r="G52" s="96">
        <f>F52*(1+_xlfn.RRI($N$28-$E$28,$E$52,SUM('2_Calculs'!$L$64:$L$66)))</f>
        <v>2429.3019749703994</v>
      </c>
      <c r="H52" s="96">
        <f>G52*(1+_xlfn.RRI($N$28-$E$28,$E$52,SUM('2_Calculs'!$L$64:$L$66)))</f>
        <v>2552.5798211401438</v>
      </c>
      <c r="I52" s="96">
        <f>H52*(1+_xlfn.RRI($N$28-$E$28,$E$52,SUM('2_Calculs'!$L$64:$L$66)))</f>
        <v>2682.1135496632692</v>
      </c>
      <c r="J52" s="96">
        <f>I52*(1+_xlfn.RRI($N$28-$E$28,$E$52,SUM('2_Calculs'!$L$64:$L$66)))</f>
        <v>2818.2206228027476</v>
      </c>
      <c r="K52" s="96">
        <f>J52*(1+_xlfn.RRI($N$28-$E$28,$E$52,SUM('2_Calculs'!$L$64:$L$66)))</f>
        <v>2961.2346128253389</v>
      </c>
      <c r="L52" s="96">
        <f>K52*(1+_xlfn.RRI($N$28-$E$28,$E$52,SUM('2_Calculs'!$L$64:$L$66)))</f>
        <v>3111.5060195230808</v>
      </c>
      <c r="M52" s="96">
        <f>L52*(1+_xlfn.RRI($N$28-$E$28,$E$52,SUM('2_Calculs'!$L$64:$L$66)))</f>
        <v>3269.4031292208874</v>
      </c>
      <c r="N52" s="96">
        <f>M52*(1+_xlfn.RRI($N$28-$E$28,$E$52,SUM('2_Calculs'!$L$64:$L$66)))</f>
        <v>3435.3129173755215</v>
      </c>
      <c r="P52" s="83">
        <f>_xlfn.RRI($N$8-$E$8,E52,N52)</f>
        <v>5.0746200941629072E-2</v>
      </c>
      <c r="R52" s="79" t="b">
        <f>N52=SUM('2_Calculs'!L64:L66)</f>
        <v>1</v>
      </c>
    </row>
    <row r="53" spans="2:18" ht="14.4">
      <c r="D53" s="93" t="s">
        <v>169</v>
      </c>
      <c r="E53" s="96">
        <f>SUM('2_Calculs'!$F$14:$F$16)</f>
        <v>2200.3199999999997</v>
      </c>
      <c r="F53" s="96">
        <f>E53*(1+_xlfn.RRI($N$28-$E$28,$E$52,SUM('2_Calculs'!$L$79:$L$81)))</f>
        <v>2450.0155659350971</v>
      </c>
      <c r="G53" s="96">
        <f>F53*(1+_xlfn.RRI($N$28-$E$28,$E$52,SUM('2_Calculs'!$L$79:$L$81)))</f>
        <v>2728.0469537723034</v>
      </c>
      <c r="H53" s="96">
        <f>G53*(1+_xlfn.RRI($N$28-$E$28,$E$52,SUM('2_Calculs'!$L$79:$L$81)))</f>
        <v>3037.6297544647905</v>
      </c>
      <c r="I53" s="96">
        <f>H53*(1+_xlfn.RRI($N$28-$E$28,$E$52,SUM('2_Calculs'!$L$79:$L$81)))</f>
        <v>3382.3444689801231</v>
      </c>
      <c r="J53" s="96">
        <f>I53*(1+_xlfn.RRI($N$28-$E$28,$E$52,SUM('2_Calculs'!$L$79:$L$81)))</f>
        <v>3766.1779188280716</v>
      </c>
      <c r="K53" s="96">
        <f>J53*(1+_xlfn.RRI($N$28-$E$28,$E$52,SUM('2_Calculs'!$L$79:$L$81)))</f>
        <v>4193.5693559163328</v>
      </c>
      <c r="L53" s="96">
        <f>K53*(1+_xlfn.RRI($N$28-$E$28,$E$52,SUM('2_Calculs'!$L$79:$L$81)))</f>
        <v>4669.461805020831</v>
      </c>
      <c r="M53" s="96">
        <f>L53*(1+_xlfn.RRI($N$28-$E$28,$E$52,SUM('2_Calculs'!$L$79:$L$81)))</f>
        <v>5199.3592326754433</v>
      </c>
      <c r="N53" s="96">
        <f>M53*(1+_xlfn.RRI($N$28-$E$28,$E$52,SUM('2_Calculs'!$L$79:$L$81)))</f>
        <v>5789.3902036718291</v>
      </c>
      <c r="P53" s="83">
        <f>_xlfn.RRI($N$8-$E$8,E53,N53)</f>
        <v>0.113481478119136</v>
      </c>
      <c r="R53" s="84" t="b">
        <f>N53=SUM('2_Calculs'!L79:L81)</f>
        <v>1</v>
      </c>
    </row>
    <row r="54" spans="2:18" ht="14.4">
      <c r="D54" s="93" t="s">
        <v>158</v>
      </c>
      <c r="E54" s="96">
        <f>SUM('2_Calculs'!$F$14:$F$16)</f>
        <v>2200.3199999999997</v>
      </c>
      <c r="F54" s="96">
        <f>E54*(1+_xlfn.RRI($N$28-$E$28,$E$52,SUM('2_Calculs'!$L$94:$L$96)))</f>
        <v>2526.7144243975936</v>
      </c>
      <c r="G54" s="96">
        <f>F54*(1+_xlfn.RRI($N$28-$E$28,$E$52,SUM('2_Calculs'!$L$94:$L$96)))</f>
        <v>2901.5260427841695</v>
      </c>
      <c r="H54" s="96">
        <f>G54*(1+_xlfn.RRI($N$28-$E$28,$E$52,SUM('2_Calculs'!$L$94:$L$96)))</f>
        <v>3331.9370387343802</v>
      </c>
      <c r="I54" s="96">
        <f>H54*(1+_xlfn.RRI($N$28-$E$28,$E$52,SUM('2_Calculs'!$L$94:$L$96)))</f>
        <v>3826.1949975252523</v>
      </c>
      <c r="J54" s="96">
        <f>I54*(1+_xlfn.RRI($N$28-$E$28,$E$52,SUM('2_Calculs'!$L$94:$L$96)))</f>
        <v>4393.7709473190134</v>
      </c>
      <c r="K54" s="96">
        <f>J54*(1+_xlfn.RRI($N$28-$E$28,$E$52,SUM('2_Calculs'!$L$94:$L$96)))</f>
        <v>5045.5408440999636</v>
      </c>
      <c r="L54" s="96">
        <f>K54*(1+_xlfn.RRI($N$28-$E$28,$E$52,SUM('2_Calculs'!$L$94:$L$96)))</f>
        <v>5793.9939780007408</v>
      </c>
      <c r="M54" s="96">
        <f>L54*(1+_xlfn.RRI($N$28-$E$28,$E$52,SUM('2_Calculs'!$L$94:$L$96)))</f>
        <v>6653.4722945241001</v>
      </c>
      <c r="N54" s="96">
        <f>M54*(1+_xlfn.RRI($N$28-$E$28,$E$52,SUM('2_Calculs'!$L$94:$L$96)))</f>
        <v>7640.4452165611365</v>
      </c>
      <c r="P54" s="83">
        <f>_xlfn.RRI($N$8-$E$8,E54,N54)</f>
        <v>0.14833952534067496</v>
      </c>
      <c r="R54" s="85" t="b">
        <f>N54=SUM('2_Calculs'!L94:L96)</f>
        <v>1</v>
      </c>
    </row>
    <row r="57" spans="2:18">
      <c r="B57" s="90">
        <v>2</v>
      </c>
      <c r="D57" s="90" t="s">
        <v>168</v>
      </c>
      <c r="E57" s="90"/>
      <c r="F57" s="90"/>
      <c r="G57" s="90"/>
      <c r="H57" s="90"/>
      <c r="I57" s="90"/>
      <c r="J57" s="90"/>
      <c r="K57" s="90"/>
      <c r="L57" s="90"/>
      <c r="M57" s="90"/>
      <c r="N57" s="90"/>
    </row>
    <row r="59" spans="2:18" ht="14.4">
      <c r="D59" s="93"/>
      <c r="E59" s="92">
        <v>2035</v>
      </c>
    </row>
    <row r="60" spans="2:18" ht="14.4">
      <c r="D60" s="94"/>
      <c r="E60" s="94"/>
    </row>
    <row r="61" spans="2:18" ht="14.4">
      <c r="D61" s="97" t="s">
        <v>17</v>
      </c>
      <c r="E61" s="98">
        <f>'2_Calculs'!L95</f>
        <v>1953.7656314295425</v>
      </c>
    </row>
    <row r="62" spans="2:18" ht="28.8">
      <c r="D62" s="99" t="s">
        <v>172</v>
      </c>
      <c r="E62" s="98">
        <f>'2_Calculs'!L96</f>
        <v>5191.5398737574897</v>
      </c>
    </row>
    <row r="63" spans="2:18" ht="25.2">
      <c r="D63" s="100" t="s">
        <v>173</v>
      </c>
      <c r="E63" s="79">
        <f>'2_Calculs'!L94</f>
        <v>495.13971137410488</v>
      </c>
    </row>
    <row r="68" spans="2:14">
      <c r="B68" s="80" t="s">
        <v>149</v>
      </c>
      <c r="D68" s="80" t="s">
        <v>174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</row>
    <row r="70" spans="2:14">
      <c r="F70" s="89" t="s">
        <v>118</v>
      </c>
      <c r="G70" s="89" t="s">
        <v>131</v>
      </c>
      <c r="H70" s="89" t="s">
        <v>166</v>
      </c>
    </row>
    <row r="71" spans="2:14">
      <c r="D71" s="81"/>
      <c r="E71" s="86">
        <v>2026</v>
      </c>
      <c r="F71" s="86" t="s">
        <v>161</v>
      </c>
      <c r="G71" s="86" t="s">
        <v>162</v>
      </c>
      <c r="H71" s="86" t="s">
        <v>163</v>
      </c>
      <c r="J71" s="81"/>
      <c r="K71" s="86">
        <v>2026</v>
      </c>
      <c r="L71" s="86" t="s">
        <v>161</v>
      </c>
      <c r="M71" s="86" t="s">
        <v>162</v>
      </c>
      <c r="N71" s="86" t="s">
        <v>163</v>
      </c>
    </row>
    <row r="73" spans="2:14" ht="13.8">
      <c r="D73" s="14" t="s">
        <v>9</v>
      </c>
      <c r="E73" s="88">
        <f>'2_Calculs'!F9</f>
        <v>80</v>
      </c>
      <c r="F73" s="88">
        <f>'2_Calculs'!L59</f>
        <v>386.29175133323764</v>
      </c>
      <c r="G73" s="88">
        <f>'2_Calculs'!L74</f>
        <v>421.65137952640538</v>
      </c>
      <c r="H73" s="88">
        <f>'2_Calculs'!L89</f>
        <v>448.85928755276234</v>
      </c>
      <c r="J73" s="73" t="s">
        <v>20</v>
      </c>
      <c r="K73" s="88">
        <f>E80</f>
        <v>1677.6</v>
      </c>
      <c r="L73" s="88">
        <f t="shared" ref="L73:N73" si="2">F80</f>
        <v>2518.3186442565466</v>
      </c>
      <c r="M73" s="88">
        <f t="shared" si="2"/>
        <v>4217.8625326758556</v>
      </c>
      <c r="N73" s="88">
        <f t="shared" si="2"/>
        <v>5191.5398737574897</v>
      </c>
    </row>
    <row r="74" spans="2:14" ht="13.8">
      <c r="D74" s="2" t="s">
        <v>153</v>
      </c>
      <c r="E74" s="88">
        <f>'2_Calculs'!F10</f>
        <v>20</v>
      </c>
      <c r="F74" s="88">
        <f>'2_Calculs'!L60</f>
        <v>30.022873679739469</v>
      </c>
      <c r="G74" s="88">
        <f>'2_Calculs'!L75</f>
        <v>50.284484175916262</v>
      </c>
      <c r="H74" s="88">
        <f>'2_Calculs'!L90</f>
        <v>61.89246392176311</v>
      </c>
      <c r="J74" s="14" t="s">
        <v>17</v>
      </c>
      <c r="K74" s="88">
        <f>E79</f>
        <v>362.72</v>
      </c>
      <c r="L74" s="88">
        <f t="shared" ref="L74:N74" si="3">F79</f>
        <v>676.81128368105703</v>
      </c>
      <c r="M74" s="88">
        <f t="shared" si="3"/>
        <v>1169.2517975886417</v>
      </c>
      <c r="N74" s="88">
        <f t="shared" si="3"/>
        <v>1953.7656314295425</v>
      </c>
    </row>
    <row r="75" spans="2:14" ht="13.8">
      <c r="D75" s="2" t="s">
        <v>148</v>
      </c>
      <c r="E75" s="88">
        <f>'2_Calculs'!F11</f>
        <v>10</v>
      </c>
      <c r="F75" s="88">
        <f>'2_Calculs'!L61</f>
        <v>19.873987597787398</v>
      </c>
      <c r="G75" s="88">
        <f>'2_Calculs'!L76</f>
        <v>30.540772986133362</v>
      </c>
      <c r="H75" s="88">
        <f>'2_Calculs'!L91</f>
        <v>77.714820122645065</v>
      </c>
      <c r="J75" s="14" t="s">
        <v>15</v>
      </c>
      <c r="K75" s="88">
        <f>E77</f>
        <v>80</v>
      </c>
      <c r="L75" s="88">
        <f t="shared" ref="L75:N75" si="4">F77</f>
        <v>136.5168830061094</v>
      </c>
      <c r="M75" s="88">
        <f t="shared" si="4"/>
        <v>216.93118757200014</v>
      </c>
      <c r="N75" s="88">
        <f t="shared" si="4"/>
        <v>495.33891379199991</v>
      </c>
    </row>
    <row r="76" spans="2:14" ht="13.8">
      <c r="D76" s="14" t="s">
        <v>14</v>
      </c>
      <c r="E76" s="88">
        <f>'2_Calculs'!F12</f>
        <v>80</v>
      </c>
      <c r="F76" s="88">
        <f>'2_Calculs'!L62</f>
        <v>120.09149471895788</v>
      </c>
      <c r="G76" s="88">
        <f>'2_Calculs'!L77</f>
        <v>201.13793670366505</v>
      </c>
      <c r="H76" s="88">
        <f>'2_Calculs'!L92</f>
        <v>247.56985568705244</v>
      </c>
      <c r="J76" s="14" t="s">
        <v>102</v>
      </c>
      <c r="K76" s="88">
        <f>E78</f>
        <v>160</v>
      </c>
      <c r="L76" s="88">
        <f t="shared" ref="L76:N76" si="5">F78</f>
        <v>240.18298943791575</v>
      </c>
      <c r="M76" s="88">
        <f t="shared" si="5"/>
        <v>402.2758734073301</v>
      </c>
      <c r="N76" s="88">
        <f t="shared" si="5"/>
        <v>495.13971137410488</v>
      </c>
    </row>
    <row r="77" spans="2:14" ht="13.8">
      <c r="D77" s="14" t="s">
        <v>15</v>
      </c>
      <c r="E77" s="88">
        <f>'2_Calculs'!F13</f>
        <v>80</v>
      </c>
      <c r="F77" s="88">
        <f>'2_Calculs'!L63</f>
        <v>136.5168830061094</v>
      </c>
      <c r="G77" s="88">
        <f>'2_Calculs'!L78</f>
        <v>216.93118757200014</v>
      </c>
      <c r="H77" s="88">
        <f>'2_Calculs'!L93</f>
        <v>495.33891379199991</v>
      </c>
      <c r="J77" s="14" t="s">
        <v>9</v>
      </c>
      <c r="K77" s="88">
        <f>E73</f>
        <v>80</v>
      </c>
      <c r="L77" s="88">
        <f t="shared" ref="L77:N77" si="6">F73</f>
        <v>386.29175133323764</v>
      </c>
      <c r="M77" s="88">
        <f t="shared" si="6"/>
        <v>421.65137952640538</v>
      </c>
      <c r="N77" s="88">
        <f t="shared" si="6"/>
        <v>448.85928755276234</v>
      </c>
    </row>
    <row r="78" spans="2:14" ht="13.8">
      <c r="D78" s="14" t="s">
        <v>102</v>
      </c>
      <c r="E78" s="88">
        <f>'2_Calculs'!F14</f>
        <v>160</v>
      </c>
      <c r="F78" s="88">
        <f>'2_Calculs'!L64</f>
        <v>240.18298943791575</v>
      </c>
      <c r="G78" s="88">
        <f>'2_Calculs'!L79</f>
        <v>402.2758734073301</v>
      </c>
      <c r="H78" s="88">
        <f>'2_Calculs'!L94</f>
        <v>495.13971137410488</v>
      </c>
      <c r="J78" s="14" t="s">
        <v>14</v>
      </c>
      <c r="K78" s="88">
        <f>E76</f>
        <v>80</v>
      </c>
      <c r="L78" s="88">
        <f t="shared" ref="L78:N78" si="7">F76</f>
        <v>120.09149471895788</v>
      </c>
      <c r="M78" s="88">
        <f t="shared" si="7"/>
        <v>201.13793670366505</v>
      </c>
      <c r="N78" s="88">
        <f t="shared" si="7"/>
        <v>247.56985568705244</v>
      </c>
    </row>
    <row r="79" spans="2:14" ht="13.8">
      <c r="D79" s="14" t="s">
        <v>17</v>
      </c>
      <c r="E79" s="88">
        <f>'2_Calculs'!F15</f>
        <v>362.72</v>
      </c>
      <c r="F79" s="88">
        <f>'2_Calculs'!L65</f>
        <v>676.81128368105703</v>
      </c>
      <c r="G79" s="88">
        <f>'2_Calculs'!L80</f>
        <v>1169.2517975886417</v>
      </c>
      <c r="H79" s="88">
        <f>'2_Calculs'!L95</f>
        <v>1953.7656314295425</v>
      </c>
      <c r="J79" s="2" t="s">
        <v>148</v>
      </c>
      <c r="K79" s="88">
        <f>E75</f>
        <v>10</v>
      </c>
      <c r="L79" s="88">
        <f t="shared" ref="L79:N79" si="8">F75</f>
        <v>19.873987597787398</v>
      </c>
      <c r="M79" s="88">
        <f t="shared" si="8"/>
        <v>30.540772986133362</v>
      </c>
      <c r="N79" s="88">
        <f t="shared" si="8"/>
        <v>77.714820122645065</v>
      </c>
    </row>
    <row r="80" spans="2:14" ht="13.8">
      <c r="D80" s="73" t="s">
        <v>20</v>
      </c>
      <c r="E80" s="88">
        <f>'2_Calculs'!F16</f>
        <v>1677.6</v>
      </c>
      <c r="F80" s="88">
        <f>'2_Calculs'!L66</f>
        <v>2518.3186442565466</v>
      </c>
      <c r="G80" s="88">
        <f>'2_Calculs'!L81</f>
        <v>4217.8625326758556</v>
      </c>
      <c r="H80" s="88">
        <f>'2_Calculs'!L96</f>
        <v>5191.5398737574897</v>
      </c>
      <c r="J80" s="2" t="s">
        <v>153</v>
      </c>
      <c r="K80" s="88">
        <f>E74</f>
        <v>20</v>
      </c>
      <c r="L80" s="88">
        <f t="shared" ref="L80:N80" si="9">F74</f>
        <v>30.022873679739469</v>
      </c>
      <c r="M80" s="88">
        <f t="shared" si="9"/>
        <v>50.284484175916262</v>
      </c>
      <c r="N80" s="88">
        <f t="shared" si="9"/>
        <v>61.89246392176311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20"/>
  <sheetViews>
    <sheetView topLeftCell="C63" zoomScaleNormal="100" workbookViewId="0">
      <selection activeCell="G39" sqref="G39"/>
    </sheetView>
  </sheetViews>
  <sheetFormatPr defaultColWidth="8.69921875" defaultRowHeight="15"/>
  <cols>
    <col min="1" max="2" width="3.8984375" style="1" customWidth="1"/>
    <col min="3" max="3" width="3.19921875" style="1" customWidth="1"/>
    <col min="4" max="4" width="56.8984375" style="1" bestFit="1" customWidth="1"/>
    <col min="5" max="5" width="26.8984375" style="1" customWidth="1"/>
    <col min="6" max="6" width="20.19921875" style="1" customWidth="1"/>
    <col min="7" max="7" width="25.59765625" style="1" customWidth="1"/>
    <col min="8" max="8" width="18" style="1" customWidth="1"/>
    <col min="9" max="9" width="28" style="1" customWidth="1"/>
    <col min="10" max="13" width="16" style="1" customWidth="1"/>
    <col min="14" max="16384" width="8.69921875" style="1"/>
  </cols>
  <sheetData>
    <row r="1" spans="2:16" s="55" customFormat="1" ht="10.199999999999999" customHeight="1">
      <c r="D1" s="56"/>
      <c r="E1" s="56"/>
      <c r="F1" s="56"/>
      <c r="G1" s="56"/>
      <c r="H1" s="56"/>
      <c r="J1" s="56"/>
      <c r="K1" s="56"/>
      <c r="L1" s="56"/>
      <c r="M1" s="56"/>
      <c r="N1" s="56"/>
      <c r="O1" s="56"/>
    </row>
    <row r="2" spans="2:16" s="55" customFormat="1" ht="34.200000000000003" customHeight="1">
      <c r="B2" s="58" t="s">
        <v>2</v>
      </c>
      <c r="C2" s="57"/>
      <c r="E2" s="58"/>
      <c r="F2" s="59"/>
      <c r="G2" s="59"/>
      <c r="H2" s="59"/>
      <c r="I2" s="60"/>
      <c r="J2" s="59"/>
      <c r="K2" s="59"/>
      <c r="L2" s="59"/>
      <c r="M2" s="59"/>
      <c r="N2" s="59"/>
      <c r="O2" s="59"/>
    </row>
    <row r="3" spans="2:16" s="55" customFormat="1" ht="15.6" customHeight="1">
      <c r="C3" s="57"/>
      <c r="D3" s="58"/>
      <c r="E3" s="58"/>
      <c r="F3" s="59"/>
      <c r="G3" s="59"/>
      <c r="H3" s="59"/>
      <c r="I3" s="60"/>
      <c r="J3" s="59"/>
      <c r="K3" s="59"/>
      <c r="L3" s="59"/>
      <c r="M3" s="59"/>
      <c r="N3" s="59"/>
      <c r="O3" s="59"/>
    </row>
    <row r="4" spans="2:16" s="64" customFormat="1" ht="15" customHeight="1">
      <c r="C4" s="61"/>
      <c r="D4" s="62"/>
      <c r="E4" s="62"/>
      <c r="F4" s="62"/>
      <c r="G4" s="62"/>
      <c r="H4" s="62"/>
      <c r="I4" s="63"/>
      <c r="J4" s="62"/>
      <c r="K4" s="62"/>
      <c r="L4" s="62"/>
      <c r="M4" s="62"/>
      <c r="N4" s="62"/>
      <c r="O4" s="62"/>
    </row>
    <row r="5" spans="2:16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ht="16.2" customHeight="1">
      <c r="B6" s="3" t="s">
        <v>3</v>
      </c>
      <c r="D6" s="3" t="s">
        <v>4</v>
      </c>
      <c r="E6" s="3"/>
      <c r="F6" s="3"/>
      <c r="G6" s="3"/>
      <c r="H6" s="3"/>
      <c r="I6" s="3"/>
      <c r="J6" s="3"/>
      <c r="K6" s="3"/>
      <c r="L6" s="3"/>
      <c r="M6" s="3"/>
      <c r="N6" s="2"/>
      <c r="O6" s="2"/>
      <c r="P6" s="2"/>
    </row>
    <row r="7" spans="2:16" ht="16.2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2"/>
      <c r="O7" s="2"/>
      <c r="P7" s="2"/>
    </row>
    <row r="8" spans="2:16" ht="15.6" thickBot="1">
      <c r="D8" s="22" t="s">
        <v>5</v>
      </c>
      <c r="E8" s="22" t="s">
        <v>6</v>
      </c>
      <c r="F8" s="22" t="s">
        <v>7</v>
      </c>
      <c r="G8" s="22" t="s">
        <v>8</v>
      </c>
      <c r="I8" s="2"/>
      <c r="J8" s="2"/>
      <c r="K8" s="2"/>
      <c r="L8" s="2"/>
      <c r="M8" s="2"/>
      <c r="N8" s="2"/>
      <c r="O8" s="2"/>
      <c r="P8" s="2"/>
    </row>
    <row r="9" spans="2:16">
      <c r="D9" s="2" t="s">
        <v>9</v>
      </c>
      <c r="E9" s="1" t="s">
        <v>10</v>
      </c>
      <c r="F9" s="9">
        <v>80</v>
      </c>
      <c r="G9" s="2" t="s">
        <v>11</v>
      </c>
      <c r="I9" s="2"/>
      <c r="J9" s="2"/>
      <c r="K9" s="2"/>
      <c r="L9" s="2"/>
      <c r="M9" s="2"/>
      <c r="N9" s="2"/>
      <c r="O9" s="2"/>
      <c r="P9" s="2"/>
    </row>
    <row r="10" spans="2:16">
      <c r="D10" s="2" t="s">
        <v>153</v>
      </c>
      <c r="E10" s="1" t="s">
        <v>10</v>
      </c>
      <c r="F10" s="9">
        <v>20</v>
      </c>
      <c r="G10" s="2" t="s">
        <v>11</v>
      </c>
      <c r="I10" s="2"/>
      <c r="J10" s="2"/>
      <c r="K10" s="2"/>
      <c r="L10" s="2"/>
      <c r="M10" s="2"/>
      <c r="N10" s="2"/>
      <c r="O10" s="2"/>
      <c r="P10" s="2"/>
    </row>
    <row r="11" spans="2:16">
      <c r="D11" s="2" t="s">
        <v>148</v>
      </c>
      <c r="E11" s="1" t="s">
        <v>10</v>
      </c>
      <c r="F11" s="9">
        <v>10</v>
      </c>
      <c r="G11" s="2" t="s">
        <v>11</v>
      </c>
      <c r="I11" s="2"/>
      <c r="J11" s="2"/>
      <c r="K11" s="2"/>
      <c r="L11" s="2"/>
      <c r="M11" s="2"/>
      <c r="N11" s="2"/>
      <c r="O11" s="2"/>
      <c r="P11" s="2"/>
    </row>
    <row r="12" spans="2:16">
      <c r="D12" s="2" t="s">
        <v>14</v>
      </c>
      <c r="E12" s="1" t="s">
        <v>10</v>
      </c>
      <c r="F12" s="9">
        <v>80</v>
      </c>
      <c r="G12" s="2" t="s">
        <v>11</v>
      </c>
      <c r="I12" s="2"/>
      <c r="J12" s="2"/>
      <c r="K12" s="2"/>
      <c r="L12" s="2"/>
      <c r="M12" s="2"/>
      <c r="N12" s="2"/>
      <c r="O12" s="2"/>
      <c r="P12" s="2"/>
    </row>
    <row r="13" spans="2:16">
      <c r="D13" s="2" t="s">
        <v>15</v>
      </c>
      <c r="E13" s="1" t="s">
        <v>10</v>
      </c>
      <c r="F13" s="9">
        <v>80</v>
      </c>
      <c r="G13" s="2" t="s">
        <v>11</v>
      </c>
      <c r="I13" s="2"/>
      <c r="J13" s="2"/>
      <c r="K13" s="2"/>
      <c r="L13" s="2"/>
      <c r="M13" s="2"/>
      <c r="N13" s="2"/>
      <c r="O13" s="2"/>
      <c r="P13" s="2"/>
    </row>
    <row r="14" spans="2:16">
      <c r="D14" s="2" t="s">
        <v>16</v>
      </c>
      <c r="E14" s="1" t="s">
        <v>10</v>
      </c>
      <c r="F14" s="9">
        <f>F25*10%</f>
        <v>160</v>
      </c>
      <c r="G14" s="2" t="s">
        <v>11</v>
      </c>
      <c r="I14" s="2"/>
      <c r="J14" s="2"/>
      <c r="K14" s="2"/>
      <c r="L14" s="2"/>
      <c r="M14" s="2"/>
      <c r="N14" s="2"/>
      <c r="O14" s="2"/>
      <c r="P14" s="2"/>
    </row>
    <row r="15" spans="2:16">
      <c r="D15" s="2" t="s">
        <v>17</v>
      </c>
      <c r="E15" s="1" t="s">
        <v>10</v>
      </c>
      <c r="F15" s="9" t="s">
        <v>18</v>
      </c>
      <c r="G15" s="2" t="s">
        <v>19</v>
      </c>
      <c r="I15" s="2"/>
      <c r="J15" s="2"/>
      <c r="K15" s="2"/>
      <c r="L15" s="2"/>
      <c r="M15" s="2"/>
      <c r="N15" s="2"/>
      <c r="O15" s="2"/>
      <c r="P15" s="2"/>
    </row>
    <row r="16" spans="2:16" ht="15.6" thickBot="1">
      <c r="D16" s="24" t="s">
        <v>20</v>
      </c>
      <c r="E16" s="20" t="s">
        <v>10</v>
      </c>
      <c r="F16" s="25" t="s">
        <v>18</v>
      </c>
      <c r="G16" s="24" t="s">
        <v>19</v>
      </c>
      <c r="I16" s="2"/>
      <c r="J16" s="2"/>
      <c r="K16" s="2"/>
      <c r="L16" s="2"/>
      <c r="M16" s="2"/>
      <c r="N16" s="2"/>
      <c r="O16" s="2"/>
      <c r="P16" s="2"/>
    </row>
    <row r="17" spans="2:16" ht="15.6" thickTop="1">
      <c r="D17" s="2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2:16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ht="15.6" thickBot="1">
      <c r="D19" s="22" t="s">
        <v>5</v>
      </c>
      <c r="E19" s="22" t="s">
        <v>6</v>
      </c>
      <c r="F19" s="22" t="s">
        <v>21</v>
      </c>
      <c r="G19" s="22" t="s">
        <v>8</v>
      </c>
      <c r="I19" s="2"/>
      <c r="J19" s="2"/>
      <c r="K19" s="2"/>
      <c r="L19" s="2"/>
      <c r="M19" s="2"/>
      <c r="N19" s="2"/>
      <c r="O19" s="2"/>
      <c r="P19" s="2"/>
    </row>
    <row r="20" spans="2:16">
      <c r="D20" s="2" t="s">
        <v>9</v>
      </c>
      <c r="E20" s="2" t="s">
        <v>22</v>
      </c>
      <c r="F20" s="10">
        <v>628</v>
      </c>
      <c r="G20" s="2" t="s">
        <v>11</v>
      </c>
      <c r="I20" s="2"/>
      <c r="J20" s="2"/>
      <c r="K20" s="2"/>
      <c r="L20" s="2"/>
      <c r="M20" s="2"/>
      <c r="N20" s="2"/>
      <c r="O20" s="2"/>
      <c r="P20" s="2"/>
    </row>
    <row r="21" spans="2:16">
      <c r="D21" s="2" t="s">
        <v>147</v>
      </c>
      <c r="E21" s="1" t="s">
        <v>10</v>
      </c>
      <c r="F21" s="10"/>
      <c r="G21" s="2" t="s">
        <v>11</v>
      </c>
      <c r="I21" s="2"/>
      <c r="J21" s="2"/>
      <c r="K21" s="2"/>
      <c r="L21" s="2"/>
      <c r="M21" s="2"/>
      <c r="N21" s="2"/>
      <c r="O21" s="2"/>
      <c r="P21" s="2"/>
    </row>
    <row r="22" spans="2:16">
      <c r="D22" s="2" t="s">
        <v>148</v>
      </c>
      <c r="E22" s="1" t="s">
        <v>10</v>
      </c>
      <c r="F22" s="10"/>
      <c r="G22" s="2" t="s">
        <v>11</v>
      </c>
      <c r="I22" s="2"/>
      <c r="J22" s="2"/>
      <c r="K22" s="2"/>
      <c r="L22" s="2"/>
      <c r="M22" s="2"/>
      <c r="N22" s="2"/>
      <c r="O22" s="2"/>
      <c r="P22" s="2"/>
    </row>
    <row r="23" spans="2:16">
      <c r="D23" s="2" t="s">
        <v>14</v>
      </c>
      <c r="E23" s="1" t="s">
        <v>10</v>
      </c>
      <c r="F23" s="10"/>
      <c r="G23" s="2" t="s">
        <v>11</v>
      </c>
      <c r="I23" s="2"/>
      <c r="J23" s="2"/>
      <c r="K23" s="2"/>
      <c r="L23" s="2"/>
      <c r="M23" s="2"/>
      <c r="N23" s="2"/>
      <c r="O23" s="2"/>
      <c r="P23" s="2"/>
    </row>
    <row r="24" spans="2:16">
      <c r="D24" s="2" t="s">
        <v>15</v>
      </c>
      <c r="E24" s="1" t="s">
        <v>10</v>
      </c>
      <c r="F24" s="10"/>
      <c r="G24" s="2" t="s">
        <v>11</v>
      </c>
      <c r="I24" s="2"/>
      <c r="J24" s="2"/>
      <c r="K24" s="2"/>
      <c r="L24" s="2"/>
      <c r="M24" s="2"/>
      <c r="N24" s="2"/>
      <c r="O24" s="2"/>
      <c r="P24" s="2"/>
    </row>
    <row r="25" spans="2:16">
      <c r="D25" s="2" t="s">
        <v>16</v>
      </c>
      <c r="E25" s="2" t="s">
        <v>23</v>
      </c>
      <c r="F25" s="10">
        <v>1600</v>
      </c>
      <c r="G25" s="2" t="s">
        <v>24</v>
      </c>
      <c r="I25" s="2"/>
      <c r="J25" s="2"/>
      <c r="K25" s="2"/>
      <c r="L25" s="2"/>
      <c r="M25" s="2"/>
      <c r="N25" s="2"/>
      <c r="O25" s="2"/>
      <c r="P25" s="2"/>
    </row>
    <row r="26" spans="2:16">
      <c r="D26" s="2" t="s">
        <v>17</v>
      </c>
      <c r="E26" s="2" t="s">
        <v>25</v>
      </c>
      <c r="F26" s="10">
        <v>4534</v>
      </c>
      <c r="G26" s="2" t="s">
        <v>26</v>
      </c>
      <c r="I26" s="2"/>
      <c r="J26" s="2"/>
      <c r="K26" s="2"/>
      <c r="L26" s="2"/>
      <c r="M26" s="2"/>
      <c r="N26" s="2"/>
      <c r="O26" s="2"/>
      <c r="P26" s="2"/>
    </row>
    <row r="27" spans="2:16" ht="15.6" thickBot="1">
      <c r="D27" s="24" t="s">
        <v>20</v>
      </c>
      <c r="E27" s="24" t="s">
        <v>25</v>
      </c>
      <c r="F27" s="26">
        <v>55920</v>
      </c>
      <c r="G27" s="24" t="s">
        <v>26</v>
      </c>
      <c r="I27" s="2"/>
      <c r="J27" s="2"/>
      <c r="K27" s="2"/>
      <c r="L27" s="2"/>
      <c r="M27" s="2"/>
      <c r="N27" s="2"/>
      <c r="O27" s="2"/>
      <c r="P27" s="2"/>
    </row>
    <row r="28" spans="2:16" ht="15.6" thickTop="1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3" t="s">
        <v>28</v>
      </c>
      <c r="E31" s="3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</row>
    <row r="32" spans="2:16" ht="16.2" customHeight="1"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2"/>
      <c r="O32" s="2"/>
      <c r="P32" s="2"/>
    </row>
    <row r="33" spans="4:16" ht="15.6" thickBot="1">
      <c r="D33" s="22" t="s">
        <v>29</v>
      </c>
      <c r="E33" s="22" t="s">
        <v>6</v>
      </c>
      <c r="F33" s="22" t="s">
        <v>30</v>
      </c>
      <c r="G33" s="22" t="s">
        <v>31</v>
      </c>
      <c r="H33" s="22" t="s">
        <v>32</v>
      </c>
      <c r="I33" s="22" t="s">
        <v>33</v>
      </c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11">
        <v>5.0000000000000001E-3</v>
      </c>
      <c r="G34" s="11">
        <v>0.01</v>
      </c>
      <c r="H34" s="11">
        <v>0.01</v>
      </c>
      <c r="I34" s="2" t="s">
        <v>36</v>
      </c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11">
        <v>5.0000000000000001E-3</v>
      </c>
      <c r="G35" s="11">
        <v>0.01</v>
      </c>
      <c r="H35" s="11">
        <v>0.01</v>
      </c>
      <c r="I35" s="2" t="s">
        <v>36</v>
      </c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11">
        <v>5.0000000000000001E-3</v>
      </c>
      <c r="G36" s="11">
        <v>0.01</v>
      </c>
      <c r="H36" s="11">
        <v>0.01</v>
      </c>
      <c r="I36" s="2" t="s">
        <v>36</v>
      </c>
      <c r="J36" s="2"/>
      <c r="K36" s="2"/>
      <c r="L36" s="2"/>
      <c r="M36" s="2"/>
      <c r="N36" s="2"/>
      <c r="O36" s="2"/>
      <c r="P36" s="2"/>
    </row>
    <row r="37" spans="4:16">
      <c r="D37" s="2" t="s">
        <v>39</v>
      </c>
      <c r="E37" s="2" t="s">
        <v>35</v>
      </c>
      <c r="F37" s="11">
        <v>0.03</v>
      </c>
      <c r="G37" s="11">
        <v>0.08</v>
      </c>
      <c r="H37" s="11">
        <v>0.1</v>
      </c>
      <c r="I37" s="2" t="s">
        <v>40</v>
      </c>
      <c r="J37" s="2"/>
      <c r="K37" s="2"/>
      <c r="L37" s="2"/>
      <c r="M37" s="2"/>
      <c r="N37" s="2"/>
      <c r="O37" s="2"/>
      <c r="P37" s="2"/>
    </row>
    <row r="38" spans="4:16">
      <c r="D38" s="2" t="s">
        <v>41</v>
      </c>
      <c r="E38" s="2" t="s">
        <v>35</v>
      </c>
      <c r="F38" s="11">
        <v>0.05</v>
      </c>
      <c r="G38" s="11">
        <v>0.1</v>
      </c>
      <c r="H38" s="11">
        <v>0.15</v>
      </c>
      <c r="I38" s="2" t="s">
        <v>42</v>
      </c>
      <c r="J38" s="2"/>
      <c r="K38" s="2"/>
      <c r="L38" s="2"/>
      <c r="M38" s="2"/>
      <c r="N38" s="2"/>
      <c r="O38" s="2"/>
      <c r="P38" s="2"/>
    </row>
    <row r="39" spans="4:16">
      <c r="D39" s="2" t="s">
        <v>43</v>
      </c>
      <c r="E39" s="2" t="s">
        <v>35</v>
      </c>
      <c r="F39" s="11">
        <v>0.03</v>
      </c>
      <c r="G39" s="11">
        <v>0.08</v>
      </c>
      <c r="H39" s="11">
        <v>0.1</v>
      </c>
      <c r="I39" s="2" t="s">
        <v>36</v>
      </c>
      <c r="J39" s="2"/>
      <c r="K39" s="2"/>
      <c r="L39" s="2"/>
      <c r="M39" s="2"/>
      <c r="N39" s="2"/>
      <c r="O39" s="2"/>
      <c r="P39" s="2"/>
    </row>
    <row r="40" spans="4:16">
      <c r="D40" s="2" t="s">
        <v>44</v>
      </c>
      <c r="E40" s="2" t="s">
        <v>45</v>
      </c>
      <c r="F40" s="11">
        <v>0.1</v>
      </c>
      <c r="G40" s="11">
        <v>0.15</v>
      </c>
      <c r="H40" s="11">
        <v>0.2</v>
      </c>
      <c r="I40" s="2" t="s">
        <v>36</v>
      </c>
      <c r="J40" s="2"/>
      <c r="K40" s="2"/>
      <c r="L40" s="2"/>
      <c r="M40" s="2"/>
      <c r="N40" s="2"/>
      <c r="O40" s="2"/>
      <c r="P40" s="2"/>
    </row>
    <row r="41" spans="4:16">
      <c r="D41" s="2" t="s">
        <v>46</v>
      </c>
      <c r="E41" s="2" t="s">
        <v>45</v>
      </c>
      <c r="F41" s="11">
        <v>0.15</v>
      </c>
      <c r="G41" s="11">
        <v>0.25</v>
      </c>
      <c r="H41" s="11">
        <v>0.4</v>
      </c>
      <c r="I41" s="2" t="s">
        <v>36</v>
      </c>
      <c r="J41" s="2"/>
      <c r="K41" s="2"/>
      <c r="L41" s="2"/>
      <c r="M41" s="2"/>
      <c r="N41" s="2"/>
      <c r="O41" s="2"/>
      <c r="P41" s="2"/>
    </row>
    <row r="42" spans="4:16">
      <c r="D42" s="2" t="s">
        <v>47</v>
      </c>
      <c r="E42" s="2" t="s">
        <v>45</v>
      </c>
      <c r="F42" s="11">
        <v>0.1</v>
      </c>
      <c r="G42" s="11">
        <v>0.15</v>
      </c>
      <c r="H42" s="11">
        <v>0.2</v>
      </c>
      <c r="I42" s="2" t="s">
        <v>36</v>
      </c>
      <c r="J42" s="2"/>
      <c r="K42" s="2"/>
      <c r="L42" s="2"/>
      <c r="M42" s="2"/>
      <c r="N42" s="2"/>
      <c r="O42" s="2"/>
      <c r="P42" s="2"/>
    </row>
    <row r="43" spans="4:16">
      <c r="D43" s="2" t="s">
        <v>48</v>
      </c>
      <c r="E43" s="2" t="s">
        <v>49</v>
      </c>
      <c r="F43" s="71">
        <v>80</v>
      </c>
      <c r="G43" s="71">
        <v>80</v>
      </c>
      <c r="H43" s="71">
        <v>80</v>
      </c>
      <c r="I43" s="2" t="s">
        <v>154</v>
      </c>
      <c r="J43" s="2"/>
      <c r="K43" s="2"/>
      <c r="L43" s="2"/>
      <c r="M43" s="2"/>
      <c r="N43" s="2"/>
      <c r="O43" s="2"/>
      <c r="P43" s="2"/>
    </row>
    <row r="44" spans="4:16">
      <c r="D44" s="2" t="s">
        <v>50</v>
      </c>
      <c r="E44" s="2" t="s">
        <v>49</v>
      </c>
      <c r="F44" s="71">
        <v>30</v>
      </c>
      <c r="G44" s="71">
        <v>30</v>
      </c>
      <c r="H44" s="71">
        <v>30</v>
      </c>
      <c r="I44" s="2" t="s">
        <v>36</v>
      </c>
      <c r="J44" s="2"/>
      <c r="K44" s="2"/>
      <c r="L44" s="2"/>
      <c r="M44" s="2"/>
      <c r="N44" s="2"/>
      <c r="O44" s="2"/>
      <c r="P44" s="2"/>
    </row>
    <row r="45" spans="4:16">
      <c r="D45" s="2" t="s">
        <v>51</v>
      </c>
      <c r="E45" s="2" t="s">
        <v>52</v>
      </c>
      <c r="F45" s="71">
        <v>30</v>
      </c>
      <c r="G45" s="71">
        <v>30</v>
      </c>
      <c r="H45" s="71">
        <v>30</v>
      </c>
      <c r="I45" s="2" t="s">
        <v>36</v>
      </c>
      <c r="J45" s="2"/>
      <c r="K45" s="2"/>
      <c r="L45" s="2"/>
      <c r="M45" s="2"/>
      <c r="N45" s="2"/>
      <c r="O45" s="2"/>
      <c r="P45" s="2"/>
    </row>
    <row r="46" spans="4:16">
      <c r="D46" s="2" t="s">
        <v>152</v>
      </c>
      <c r="E46" s="2" t="s">
        <v>45</v>
      </c>
      <c r="F46" s="11">
        <v>1</v>
      </c>
      <c r="G46" s="11">
        <v>1</v>
      </c>
      <c r="H46" s="11">
        <v>1</v>
      </c>
      <c r="I46" s="2" t="s">
        <v>53</v>
      </c>
      <c r="J46" s="2"/>
      <c r="K46" s="2"/>
      <c r="L46" s="2"/>
      <c r="M46" s="2"/>
      <c r="N46" s="2"/>
      <c r="O46" s="2"/>
      <c r="P46" s="2"/>
    </row>
    <row r="47" spans="4:16">
      <c r="D47" s="2" t="s">
        <v>54</v>
      </c>
      <c r="E47" s="2" t="s">
        <v>45</v>
      </c>
      <c r="F47" s="11">
        <v>0.2</v>
      </c>
      <c r="G47" s="11">
        <v>0.35</v>
      </c>
      <c r="H47" s="11">
        <v>0.5</v>
      </c>
      <c r="I47" s="2" t="s">
        <v>36</v>
      </c>
      <c r="J47" s="2"/>
      <c r="K47" s="2"/>
      <c r="L47" s="2"/>
      <c r="M47" s="2"/>
      <c r="N47" s="2"/>
      <c r="O47" s="2"/>
      <c r="P47" s="2"/>
    </row>
    <row r="48" spans="4:16">
      <c r="D48" s="2" t="s">
        <v>55</v>
      </c>
      <c r="E48" s="2" t="s">
        <v>45</v>
      </c>
      <c r="F48" s="11">
        <v>0.1</v>
      </c>
      <c r="G48" s="11">
        <v>0.2</v>
      </c>
      <c r="H48" s="11">
        <v>0.35</v>
      </c>
      <c r="I48" s="2" t="s">
        <v>36</v>
      </c>
      <c r="J48" s="2"/>
      <c r="K48" s="2">
        <f>2^5</f>
        <v>32</v>
      </c>
      <c r="L48" s="2"/>
      <c r="M48" s="2"/>
      <c r="N48" s="2"/>
      <c r="O48" s="2"/>
      <c r="P48" s="2"/>
    </row>
    <row r="49" spans="2:16">
      <c r="D49" s="2" t="s">
        <v>56</v>
      </c>
      <c r="E49" s="2" t="s">
        <v>45</v>
      </c>
      <c r="F49" s="11">
        <v>0.25</v>
      </c>
      <c r="G49" s="11">
        <v>0.6</v>
      </c>
      <c r="H49" s="11">
        <v>1</v>
      </c>
      <c r="I49" s="2" t="s">
        <v>57</v>
      </c>
      <c r="J49" s="2"/>
      <c r="K49" s="2"/>
      <c r="L49" s="2"/>
      <c r="M49" s="2"/>
      <c r="N49" s="2"/>
      <c r="O49" s="2"/>
      <c r="P49" s="2"/>
    </row>
    <row r="50" spans="2:16">
      <c r="D50" s="2" t="s">
        <v>58</v>
      </c>
      <c r="E50" s="2" t="s">
        <v>45</v>
      </c>
      <c r="F50" s="11">
        <v>0.15</v>
      </c>
      <c r="G50" s="11">
        <v>0.4</v>
      </c>
      <c r="H50" s="11">
        <v>0.75</v>
      </c>
      <c r="I50" s="2" t="s">
        <v>57</v>
      </c>
      <c r="J50" s="2"/>
      <c r="K50" s="2"/>
      <c r="L50" s="2"/>
      <c r="M50" s="2"/>
      <c r="N50" s="2"/>
      <c r="O50" s="2"/>
      <c r="P50" s="2"/>
    </row>
    <row r="51" spans="2:16" ht="15.6" thickBot="1">
      <c r="D51" s="24" t="s">
        <v>59</v>
      </c>
      <c r="E51" s="24" t="s">
        <v>45</v>
      </c>
      <c r="F51" s="27">
        <v>0.1</v>
      </c>
      <c r="G51" s="27">
        <v>0.3</v>
      </c>
      <c r="H51" s="27">
        <v>0.6</v>
      </c>
      <c r="I51" s="24" t="s">
        <v>57</v>
      </c>
      <c r="J51" s="2"/>
      <c r="K51" s="2"/>
      <c r="L51" s="2"/>
      <c r="M51" s="2"/>
      <c r="N51" s="2"/>
      <c r="O51" s="2"/>
      <c r="P51" s="2"/>
    </row>
    <row r="52" spans="2:16" ht="15.6" thickTop="1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6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6" ht="16.2" customHeight="1">
      <c r="B54" s="3" t="s">
        <v>60</v>
      </c>
      <c r="D54" s="3" t="s">
        <v>61</v>
      </c>
      <c r="E54" s="3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</row>
    <row r="55" spans="2:16" ht="16.2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"/>
      <c r="O55" s="2"/>
      <c r="P55" s="2"/>
    </row>
    <row r="56" spans="2:16" ht="15.6" thickBot="1">
      <c r="D56" s="22" t="s">
        <v>29</v>
      </c>
      <c r="E56" s="22" t="s">
        <v>6</v>
      </c>
      <c r="F56" s="22" t="s">
        <v>62</v>
      </c>
      <c r="G56" s="22" t="s">
        <v>63</v>
      </c>
      <c r="H56" s="22" t="s">
        <v>33</v>
      </c>
      <c r="I56" s="2"/>
      <c r="J56" s="2"/>
      <c r="K56" s="2"/>
      <c r="L56" s="2"/>
      <c r="M56" s="2"/>
      <c r="N56" s="2"/>
      <c r="O56" s="2"/>
      <c r="P56" s="2"/>
    </row>
    <row r="57" spans="2:16">
      <c r="D57" s="2" t="s">
        <v>64</v>
      </c>
      <c r="E57" s="2" t="s">
        <v>65</v>
      </c>
      <c r="F57" s="12">
        <v>1300</v>
      </c>
      <c r="G57" s="2" t="s">
        <v>66</v>
      </c>
      <c r="H57" s="2" t="s">
        <v>67</v>
      </c>
      <c r="I57" s="2"/>
      <c r="J57" s="2"/>
      <c r="K57" s="2"/>
      <c r="L57" s="2"/>
      <c r="M57" s="2"/>
      <c r="N57" s="2"/>
      <c r="O57" s="2"/>
      <c r="P57" s="2"/>
    </row>
    <row r="58" spans="2:16">
      <c r="D58" s="2" t="s">
        <v>68</v>
      </c>
      <c r="E58" s="2" t="s">
        <v>69</v>
      </c>
      <c r="F58" s="12">
        <v>50</v>
      </c>
      <c r="G58" s="2" t="s">
        <v>66</v>
      </c>
      <c r="H58" s="2" t="s">
        <v>67</v>
      </c>
      <c r="I58" s="2"/>
      <c r="J58" s="2"/>
      <c r="K58" s="2"/>
      <c r="L58" s="2"/>
      <c r="M58" s="2"/>
      <c r="N58" s="2"/>
      <c r="O58" s="2"/>
      <c r="P58" s="2"/>
    </row>
    <row r="59" spans="2:16">
      <c r="D59" s="2" t="s">
        <v>70</v>
      </c>
      <c r="E59" s="2" t="s">
        <v>65</v>
      </c>
      <c r="F59" s="13">
        <f>F57+9*F58</f>
        <v>1750</v>
      </c>
      <c r="G59" s="2" t="s">
        <v>71</v>
      </c>
      <c r="H59" s="2" t="s">
        <v>72</v>
      </c>
      <c r="I59" s="2"/>
      <c r="J59" s="2"/>
      <c r="K59" s="2"/>
      <c r="L59" s="2"/>
      <c r="M59" s="2"/>
      <c r="N59" s="2"/>
      <c r="O59" s="2"/>
      <c r="P59" s="2"/>
    </row>
    <row r="60" spans="2:16">
      <c r="D60" s="2" t="s">
        <v>73</v>
      </c>
      <c r="E60" s="2" t="s">
        <v>74</v>
      </c>
      <c r="F60" s="12">
        <v>2</v>
      </c>
      <c r="G60" s="2" t="s">
        <v>66</v>
      </c>
      <c r="H60" s="2" t="s">
        <v>67</v>
      </c>
      <c r="I60" s="2"/>
      <c r="J60" s="2"/>
      <c r="K60" s="2"/>
      <c r="L60" s="2"/>
      <c r="M60" s="2"/>
      <c r="N60" s="2"/>
      <c r="O60" s="2"/>
      <c r="P60" s="2"/>
    </row>
    <row r="61" spans="2:16">
      <c r="D61" s="2" t="s">
        <v>75</v>
      </c>
      <c r="E61" s="2" t="s">
        <v>74</v>
      </c>
      <c r="F61" s="12">
        <v>8</v>
      </c>
      <c r="G61" s="2" t="s">
        <v>66</v>
      </c>
      <c r="H61" s="2" t="s">
        <v>76</v>
      </c>
      <c r="I61" s="2"/>
      <c r="J61" s="2"/>
      <c r="K61" s="2"/>
      <c r="L61" s="2"/>
      <c r="M61" s="2"/>
      <c r="N61" s="2"/>
      <c r="O61" s="2"/>
      <c r="P61" s="2"/>
    </row>
    <row r="62" spans="2:16" ht="15.6" thickBot="1">
      <c r="D62" s="24" t="s">
        <v>77</v>
      </c>
      <c r="E62" s="24" t="s">
        <v>78</v>
      </c>
      <c r="F62" s="28">
        <v>3.9531249999999996</v>
      </c>
      <c r="G62" s="24" t="s">
        <v>79</v>
      </c>
      <c r="H62" s="65" t="s">
        <v>80</v>
      </c>
      <c r="I62" s="2"/>
      <c r="J62" s="2"/>
      <c r="K62" s="2"/>
      <c r="L62" s="2"/>
      <c r="M62" s="2"/>
      <c r="N62" s="2"/>
      <c r="O62" s="2"/>
      <c r="P62" s="2"/>
    </row>
    <row r="63" spans="2:16" ht="15.6" thickTop="1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2:16" ht="16.2" customHeight="1">
      <c r="B64" s="3" t="s">
        <v>81</v>
      </c>
      <c r="D64" s="101" t="s">
        <v>82</v>
      </c>
      <c r="E64" s="101"/>
      <c r="F64" s="101"/>
      <c r="G64" s="101"/>
      <c r="H64" s="101"/>
      <c r="I64" s="101"/>
      <c r="J64" s="101"/>
      <c r="K64" s="101"/>
      <c r="L64" s="101"/>
      <c r="M64" s="101"/>
      <c r="N64" s="2"/>
      <c r="O64" s="2"/>
      <c r="P64" s="2"/>
    </row>
    <row r="65" spans="2:16" ht="16.2" customHeight="1"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"/>
      <c r="O65" s="2"/>
      <c r="P65" s="2"/>
    </row>
    <row r="66" spans="2:16" ht="15.6" thickBot="1">
      <c r="D66" s="22" t="s">
        <v>29</v>
      </c>
      <c r="E66" s="22" t="s">
        <v>6</v>
      </c>
      <c r="F66" s="22" t="s">
        <v>30</v>
      </c>
      <c r="G66" s="22" t="s">
        <v>31</v>
      </c>
      <c r="H66" s="22" t="s">
        <v>32</v>
      </c>
      <c r="I66" s="2"/>
      <c r="J66" s="2"/>
      <c r="K66" s="2"/>
      <c r="L66" s="2"/>
      <c r="M66" s="2"/>
      <c r="N66" s="2"/>
      <c r="O66" s="2"/>
      <c r="P66" s="2"/>
    </row>
    <row r="67" spans="2:16">
      <c r="D67" s="2" t="s">
        <v>83</v>
      </c>
      <c r="E67" s="2" t="s">
        <v>35</v>
      </c>
      <c r="F67" s="11">
        <v>0</v>
      </c>
      <c r="G67" s="11">
        <v>5.0000000000000001E-3</v>
      </c>
      <c r="H67" s="11">
        <v>0.01</v>
      </c>
      <c r="I67" s="2"/>
      <c r="J67" s="2"/>
      <c r="K67" s="2"/>
      <c r="L67" s="2"/>
      <c r="M67" s="2"/>
      <c r="N67" s="2"/>
      <c r="O67" s="2"/>
      <c r="P67" s="2"/>
    </row>
    <row r="68" spans="2:16" ht="15.6" thickBot="1">
      <c r="D68" s="24" t="s">
        <v>84</v>
      </c>
      <c r="E68" s="24" t="s">
        <v>45</v>
      </c>
      <c r="F68" s="27">
        <v>0.05</v>
      </c>
      <c r="G68" s="27">
        <v>0.1</v>
      </c>
      <c r="H68" s="27">
        <v>0.2</v>
      </c>
      <c r="I68" s="2"/>
      <c r="J68" s="2"/>
      <c r="K68" s="2"/>
      <c r="L68" s="2"/>
      <c r="M68" s="2"/>
      <c r="N68" s="2"/>
      <c r="O68" s="2"/>
      <c r="P68" s="2"/>
    </row>
    <row r="69" spans="2:16" ht="15.6" thickTop="1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2:16" ht="16.2" customHeight="1">
      <c r="B70" s="3" t="s">
        <v>149</v>
      </c>
      <c r="D70" s="101" t="s">
        <v>150</v>
      </c>
      <c r="E70" s="101"/>
      <c r="F70" s="101"/>
      <c r="G70" s="101"/>
      <c r="H70" s="101"/>
      <c r="I70" s="101"/>
      <c r="J70" s="101"/>
      <c r="K70" s="101"/>
      <c r="L70" s="101"/>
      <c r="M70" s="101"/>
      <c r="N70" s="2"/>
      <c r="O70" s="2"/>
      <c r="P70" s="2"/>
    </row>
    <row r="71" spans="2:16" ht="16.2" customHeight="1"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"/>
      <c r="O71" s="2"/>
      <c r="P71" s="2"/>
    </row>
    <row r="72" spans="2:16" ht="15.6" thickBot="1">
      <c r="D72" s="22" t="s">
        <v>29</v>
      </c>
      <c r="E72" s="22" t="s">
        <v>6</v>
      </c>
      <c r="F72" s="22" t="s">
        <v>30</v>
      </c>
      <c r="G72" s="22" t="s">
        <v>31</v>
      </c>
      <c r="H72" s="22" t="s">
        <v>32</v>
      </c>
      <c r="I72" s="2"/>
      <c r="J72" s="2"/>
      <c r="K72" s="2"/>
      <c r="L72" s="2"/>
      <c r="M72" s="2"/>
      <c r="N72" s="2"/>
      <c r="O72" s="2"/>
      <c r="P72" s="2"/>
    </row>
    <row r="73" spans="2:16">
      <c r="D73" s="2" t="s">
        <v>151</v>
      </c>
      <c r="E73" s="2" t="s">
        <v>35</v>
      </c>
      <c r="F73" s="11">
        <v>0</v>
      </c>
      <c r="G73" s="11">
        <v>5.0000000000000001E-3</v>
      </c>
      <c r="H73" s="11">
        <v>0.01</v>
      </c>
      <c r="I73" s="2"/>
      <c r="J73" s="2"/>
      <c r="K73" s="2"/>
      <c r="L73" s="2"/>
      <c r="M73" s="2"/>
      <c r="N73" s="2"/>
      <c r="O73" s="2"/>
      <c r="P73" s="2"/>
    </row>
    <row r="74" spans="2:16" ht="15.6" thickBot="1">
      <c r="D74" s="24" t="s">
        <v>84</v>
      </c>
      <c r="E74" s="24" t="s">
        <v>45</v>
      </c>
      <c r="F74" s="27">
        <v>7.4999999999999997E-2</v>
      </c>
      <c r="G74" s="27">
        <v>0.12</v>
      </c>
      <c r="H74" s="27">
        <v>0.25</v>
      </c>
      <c r="I74" s="2"/>
      <c r="J74" s="2"/>
      <c r="K74" s="2"/>
      <c r="L74" s="2"/>
      <c r="M74" s="2"/>
      <c r="N74" s="2"/>
      <c r="O74" s="2"/>
      <c r="P74" s="2"/>
    </row>
    <row r="75" spans="2:16" ht="15.6" thickTop="1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2:16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2:16" ht="16.2" customHeight="1">
      <c r="D77" s="101" t="s">
        <v>85</v>
      </c>
      <c r="E77" s="101"/>
      <c r="F77" s="101"/>
      <c r="G77" s="101"/>
      <c r="H77" s="101"/>
      <c r="I77" s="101"/>
      <c r="J77" s="101"/>
      <c r="K77" s="101"/>
      <c r="L77" s="101"/>
      <c r="M77" s="101"/>
      <c r="N77" s="2"/>
      <c r="O77" s="2"/>
      <c r="P77" s="2"/>
    </row>
    <row r="78" spans="2:16">
      <c r="D78" s="2" t="s">
        <v>86</v>
      </c>
      <c r="E78" s="12" t="s">
        <v>87</v>
      </c>
      <c r="F78" s="2" t="s">
        <v>88</v>
      </c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2:16">
      <c r="D79" s="2" t="s">
        <v>89</v>
      </c>
      <c r="E79" s="12" t="s">
        <v>90</v>
      </c>
      <c r="F79" s="2" t="s">
        <v>91</v>
      </c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2:16">
      <c r="D80" s="2" t="s">
        <v>92</v>
      </c>
      <c r="E80" s="12" t="s">
        <v>93</v>
      </c>
      <c r="F80" s="2" t="s">
        <v>94</v>
      </c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4:16" ht="15.6" thickBot="1">
      <c r="D81" s="24" t="s">
        <v>95</v>
      </c>
      <c r="E81" s="29" t="s">
        <v>96</v>
      </c>
      <c r="F81" s="24" t="s">
        <v>97</v>
      </c>
      <c r="G81" s="24"/>
      <c r="H81" s="24"/>
      <c r="I81" s="2"/>
      <c r="J81" s="2"/>
      <c r="K81" s="2"/>
      <c r="L81" s="2"/>
      <c r="M81" s="2"/>
      <c r="N81" s="2"/>
      <c r="O81" s="2"/>
      <c r="P81" s="2"/>
    </row>
    <row r="82" spans="4:16" ht="15.6" thickTop="1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4:16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4:16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4:16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4:16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4:16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4:16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4:16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4:16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4:16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4:16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4:16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4:16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4:16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4:16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4:16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4:16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4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4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4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4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4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4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4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4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4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4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4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4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4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4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4:16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4:16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4:16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4:16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4:16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4:16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</sheetData>
  <mergeCells count="3">
    <mergeCell ref="D64:M64"/>
    <mergeCell ref="D77:M77"/>
    <mergeCell ref="D70:M70"/>
  </mergeCells>
  <hyperlinks>
    <hyperlink ref="H62" r:id="rId1" xr:uid="{2791F89D-D5AF-4428-A952-1C7084BE7962}"/>
  </hyperlinks>
  <pageMargins left="0.7" right="0.7" top="0.75" bottom="0.75" header="0.3" footer="0.3"/>
  <headerFooter>
    <oddHeader>&amp;L&amp;"Aptos"&amp;10&amp;K000000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120"/>
  <sheetViews>
    <sheetView tabSelected="1" zoomScale="87" zoomScaleNormal="55" workbookViewId="0">
      <selection activeCell="H89" sqref="H89"/>
    </sheetView>
  </sheetViews>
  <sheetFormatPr defaultColWidth="8.69921875" defaultRowHeight="15"/>
  <cols>
    <col min="1" max="2" width="4.8984375" style="1" customWidth="1"/>
    <col min="3" max="3" width="6" style="1" customWidth="1"/>
    <col min="4" max="4" width="43" style="1" customWidth="1"/>
    <col min="5" max="5" width="19.59765625" style="1" customWidth="1"/>
    <col min="6" max="6" width="27.3984375" style="1" customWidth="1"/>
    <col min="7" max="7" width="18.5" style="1" bestFit="1" customWidth="1"/>
    <col min="8" max="8" width="29.69921875" style="1" customWidth="1"/>
    <col min="9" max="9" width="18" style="1" customWidth="1"/>
    <col min="10" max="10" width="41.69921875" style="1" customWidth="1"/>
    <col min="11" max="11" width="18" style="1" customWidth="1"/>
    <col min="12" max="12" width="43.59765625" style="1" customWidth="1"/>
    <col min="13" max="13" width="23.19921875" style="1" customWidth="1"/>
    <col min="14" max="14" width="18" style="1" customWidth="1"/>
    <col min="15" max="15" width="26.3984375" style="1" customWidth="1"/>
    <col min="16" max="16" width="31.19921875" style="1" bestFit="1" customWidth="1"/>
    <col min="17" max="16384" width="8.69921875" style="1"/>
  </cols>
  <sheetData>
    <row r="1" spans="2:18" s="55" customFormat="1" ht="10.199999999999999" customHeight="1">
      <c r="F1" s="56"/>
      <c r="G1" s="56"/>
      <c r="H1" s="56"/>
      <c r="I1" s="56"/>
      <c r="J1" s="56"/>
      <c r="L1" s="56"/>
      <c r="M1" s="56"/>
      <c r="N1" s="56"/>
      <c r="O1" s="56"/>
      <c r="P1" s="56"/>
      <c r="Q1" s="56"/>
    </row>
    <row r="2" spans="2:18" s="55" customFormat="1" ht="34.200000000000003" customHeight="1">
      <c r="B2" s="58" t="s">
        <v>98</v>
      </c>
      <c r="D2" s="58"/>
      <c r="E2" s="57"/>
      <c r="G2" s="58"/>
      <c r="H2" s="59"/>
      <c r="I2" s="59"/>
      <c r="J2" s="59"/>
      <c r="K2" s="60"/>
      <c r="L2" s="59"/>
      <c r="M2" s="59"/>
      <c r="N2" s="59"/>
      <c r="O2" s="59"/>
      <c r="P2" s="59"/>
      <c r="Q2" s="59"/>
    </row>
    <row r="3" spans="2:18" s="55" customFormat="1" ht="15.6" customHeight="1">
      <c r="E3" s="57"/>
      <c r="F3" s="58"/>
      <c r="G3" s="58"/>
      <c r="H3" s="59"/>
      <c r="I3" s="59"/>
      <c r="J3" s="59"/>
      <c r="K3" s="60"/>
      <c r="L3" s="59"/>
      <c r="M3" s="59"/>
      <c r="N3" s="59"/>
      <c r="O3" s="59"/>
      <c r="P3" s="59"/>
      <c r="Q3" s="59"/>
    </row>
    <row r="4" spans="2:18" s="64" customFormat="1" ht="15" customHeight="1">
      <c r="E4" s="61"/>
      <c r="F4" s="62"/>
      <c r="G4" s="62"/>
      <c r="H4" s="62"/>
      <c r="I4" s="62"/>
      <c r="J4" s="62"/>
      <c r="K4" s="63"/>
      <c r="L4" s="62"/>
      <c r="M4" s="62"/>
      <c r="N4" s="62"/>
      <c r="O4" s="62"/>
      <c r="P4" s="62"/>
      <c r="Q4" s="62"/>
    </row>
    <row r="5" spans="2:18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 ht="16.2" customHeight="1">
      <c r="B6" s="3" t="s">
        <v>3</v>
      </c>
      <c r="D6" s="101" t="s">
        <v>99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</row>
    <row r="7" spans="2:18" ht="16.2" customHeight="1"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2:18" ht="15.6" thickBot="1">
      <c r="D8" s="22" t="s">
        <v>5</v>
      </c>
      <c r="E8" s="22" t="s">
        <v>6</v>
      </c>
      <c r="F8" s="22" t="s">
        <v>4</v>
      </c>
      <c r="G8" s="22" t="s">
        <v>100</v>
      </c>
      <c r="H8" s="22" t="s">
        <v>101</v>
      </c>
      <c r="M8" s="2"/>
      <c r="N8" s="2"/>
      <c r="O8" s="2"/>
      <c r="P8" s="2"/>
    </row>
    <row r="9" spans="2:18">
      <c r="D9" s="14" t="s">
        <v>9</v>
      </c>
      <c r="E9" s="1" t="s">
        <v>10</v>
      </c>
      <c r="F9" s="52">
        <f>'1_Inputs&amp;Hyp'!F9</f>
        <v>80</v>
      </c>
      <c r="G9" s="14">
        <f>F9-H9</f>
        <v>61.16</v>
      </c>
      <c r="H9" s="14">
        <f>F21*G21/1000</f>
        <v>18.84</v>
      </c>
      <c r="M9" s="2"/>
      <c r="N9" s="2"/>
      <c r="O9" s="2"/>
      <c r="P9" s="2"/>
    </row>
    <row r="10" spans="2:18">
      <c r="D10" s="2" t="s">
        <v>153</v>
      </c>
      <c r="E10" s="1" t="s">
        <v>10</v>
      </c>
      <c r="F10" s="52">
        <f>'1_Inputs&amp;Hyp'!F10</f>
        <v>20</v>
      </c>
      <c r="G10" s="14">
        <f t="shared" ref="G10:G16" si="0">F10-H10</f>
        <v>0</v>
      </c>
      <c r="H10" s="14">
        <f>F10</f>
        <v>20</v>
      </c>
      <c r="M10" s="2"/>
      <c r="N10" s="2"/>
      <c r="O10" s="2"/>
      <c r="P10" s="2"/>
    </row>
    <row r="11" spans="2:18">
      <c r="D11" s="2" t="s">
        <v>148</v>
      </c>
      <c r="E11" s="1" t="s">
        <v>10</v>
      </c>
      <c r="F11" s="52">
        <f>'1_Inputs&amp;Hyp'!F11</f>
        <v>10</v>
      </c>
      <c r="G11" s="14">
        <f t="shared" si="0"/>
        <v>8</v>
      </c>
      <c r="H11" s="54">
        <v>2</v>
      </c>
      <c r="M11" s="2"/>
      <c r="N11" s="2"/>
      <c r="O11" s="2"/>
      <c r="P11" s="2"/>
    </row>
    <row r="12" spans="2:18">
      <c r="D12" s="14" t="s">
        <v>14</v>
      </c>
      <c r="E12" s="1" t="s">
        <v>10</v>
      </c>
      <c r="F12" s="52">
        <f>'1_Inputs&amp;Hyp'!F12</f>
        <v>80</v>
      </c>
      <c r="G12" s="14">
        <f t="shared" si="0"/>
        <v>0</v>
      </c>
      <c r="H12" s="14">
        <f>F12</f>
        <v>80</v>
      </c>
      <c r="M12" s="2"/>
      <c r="N12" s="2"/>
      <c r="O12" s="2"/>
      <c r="P12" s="2"/>
    </row>
    <row r="13" spans="2:18">
      <c r="D13" s="14" t="s">
        <v>15</v>
      </c>
      <c r="E13" s="1" t="s">
        <v>10</v>
      </c>
      <c r="F13" s="52">
        <f>'1_Inputs&amp;Hyp'!F13</f>
        <v>80</v>
      </c>
      <c r="G13" s="14">
        <f t="shared" si="0"/>
        <v>80</v>
      </c>
      <c r="H13" s="54">
        <v>0</v>
      </c>
      <c r="M13" s="2"/>
      <c r="N13" s="2"/>
      <c r="O13" s="2"/>
      <c r="P13" s="2"/>
    </row>
    <row r="14" spans="2:18">
      <c r="D14" s="14" t="s">
        <v>102</v>
      </c>
      <c r="E14" s="1" t="s">
        <v>10</v>
      </c>
      <c r="F14" s="52">
        <f>'1_Inputs&amp;Hyp'!F14</f>
        <v>160</v>
      </c>
      <c r="G14" s="14">
        <f t="shared" si="0"/>
        <v>0</v>
      </c>
      <c r="H14" s="14">
        <f>F14</f>
        <v>160</v>
      </c>
      <c r="M14" s="2"/>
      <c r="N14" s="2"/>
      <c r="O14" s="2"/>
      <c r="P14" s="2"/>
    </row>
    <row r="15" spans="2:18">
      <c r="D15" s="14" t="s">
        <v>17</v>
      </c>
      <c r="E15" s="1" t="s">
        <v>10</v>
      </c>
      <c r="F15" s="52">
        <f>'1_Inputs&amp;Hyp'!F26*F43/1000</f>
        <v>362.72</v>
      </c>
      <c r="G15" s="73">
        <f t="shared" si="0"/>
        <v>0</v>
      </c>
      <c r="H15" s="14">
        <f>F15</f>
        <v>362.72</v>
      </c>
      <c r="M15" s="2"/>
      <c r="N15" s="2"/>
      <c r="O15" s="2"/>
      <c r="P15" s="2"/>
    </row>
    <row r="16" spans="2:18" ht="15.6" thickBot="1">
      <c r="D16" s="18" t="s">
        <v>20</v>
      </c>
      <c r="E16" s="20" t="s">
        <v>10</v>
      </c>
      <c r="F16" s="53">
        <f>'1_Inputs&amp;Hyp'!F27*F44/1000</f>
        <v>1677.6</v>
      </c>
      <c r="G16" s="18">
        <f t="shared" si="0"/>
        <v>0</v>
      </c>
      <c r="H16" s="18">
        <f>F16</f>
        <v>1677.6</v>
      </c>
      <c r="M16" s="2"/>
      <c r="N16" s="2"/>
      <c r="O16" s="2"/>
      <c r="P16" s="2"/>
    </row>
    <row r="17" spans="2:16" ht="15.6" thickTop="1">
      <c r="D17" s="21" t="s">
        <v>103</v>
      </c>
      <c r="E17" s="14" t="s">
        <v>10</v>
      </c>
      <c r="F17" s="14">
        <f>SUM(F9:F16)</f>
        <v>2470.3199999999997</v>
      </c>
      <c r="G17" s="14">
        <f t="shared" ref="G17:H17" si="1">SUM(G9:G16)</f>
        <v>149.16</v>
      </c>
      <c r="H17" s="14">
        <f t="shared" si="1"/>
        <v>2321.16</v>
      </c>
      <c r="I17" s="14"/>
      <c r="J17" s="14"/>
      <c r="K17" s="2"/>
      <c r="L17" s="2"/>
      <c r="M17" s="2"/>
      <c r="N17" s="2"/>
      <c r="O17" s="2"/>
      <c r="P17" s="2"/>
    </row>
    <row r="18" spans="2:16">
      <c r="D18" s="14"/>
      <c r="E18" s="14"/>
      <c r="F18" s="14"/>
      <c r="G18" s="14"/>
      <c r="H18" s="14"/>
      <c r="I18" s="14"/>
      <c r="J18" s="15"/>
      <c r="K18" s="2"/>
      <c r="L18" s="2"/>
      <c r="M18" s="2"/>
      <c r="N18" s="2"/>
      <c r="O18" s="2"/>
      <c r="P18" s="2"/>
    </row>
    <row r="19" spans="2:16">
      <c r="D19" s="14"/>
      <c r="E19" s="14"/>
      <c r="F19" s="14"/>
      <c r="G19" s="14"/>
      <c r="H19" s="14"/>
      <c r="I19" s="14"/>
      <c r="J19" s="14"/>
      <c r="K19" s="2"/>
      <c r="L19" s="2"/>
      <c r="M19" s="2"/>
      <c r="N19" s="2"/>
      <c r="O19" s="2"/>
      <c r="P19" s="2"/>
    </row>
    <row r="20" spans="2:16" ht="15.6" thickBot="1">
      <c r="D20" s="22" t="s">
        <v>5</v>
      </c>
      <c r="E20" s="22" t="s">
        <v>6</v>
      </c>
      <c r="F20" s="22" t="s">
        <v>104</v>
      </c>
      <c r="G20" s="22" t="s">
        <v>105</v>
      </c>
      <c r="H20" s="22" t="s">
        <v>106</v>
      </c>
      <c r="I20" s="14"/>
      <c r="J20" s="14"/>
      <c r="K20" s="2"/>
      <c r="L20" s="2"/>
      <c r="M20" s="2"/>
      <c r="N20" s="2"/>
      <c r="O20" s="2"/>
      <c r="P20" s="2"/>
    </row>
    <row r="21" spans="2:16">
      <c r="D21" s="14" t="s">
        <v>9</v>
      </c>
      <c r="E21" s="14" t="s">
        <v>107</v>
      </c>
      <c r="F21" s="14">
        <f>'1_Inputs&amp;Hyp'!F20</f>
        <v>628</v>
      </c>
      <c r="G21" s="14">
        <f>F45</f>
        <v>30</v>
      </c>
      <c r="H21" s="14" t="s">
        <v>108</v>
      </c>
      <c r="I21" s="14"/>
      <c r="J21" s="14"/>
      <c r="K21" s="2"/>
      <c r="L21" s="2"/>
      <c r="M21" s="2"/>
      <c r="N21" s="2"/>
      <c r="O21" s="2"/>
      <c r="P21" s="2"/>
    </row>
    <row r="22" spans="2:16">
      <c r="D22" s="14" t="s">
        <v>12</v>
      </c>
      <c r="E22" s="14" t="s">
        <v>109</v>
      </c>
      <c r="F22" s="14"/>
      <c r="G22" s="14"/>
      <c r="H22" s="14" t="s">
        <v>110</v>
      </c>
      <c r="I22" s="14"/>
      <c r="J22" s="14"/>
      <c r="K22" s="2"/>
      <c r="L22" s="2"/>
      <c r="M22" s="2"/>
      <c r="N22" s="2"/>
      <c r="O22" s="2"/>
      <c r="P22" s="2"/>
    </row>
    <row r="23" spans="2:16">
      <c r="D23" s="14" t="s">
        <v>13</v>
      </c>
      <c r="E23" s="14" t="s">
        <v>109</v>
      </c>
      <c r="F23" s="14"/>
      <c r="G23" s="14"/>
      <c r="H23" s="14" t="s">
        <v>110</v>
      </c>
      <c r="I23" s="14"/>
      <c r="J23" s="14"/>
      <c r="K23" s="2"/>
      <c r="L23" s="2"/>
      <c r="M23" s="2"/>
      <c r="N23" s="2"/>
      <c r="O23" s="2"/>
      <c r="P23" s="2"/>
    </row>
    <row r="24" spans="2:16">
      <c r="D24" s="14" t="s">
        <v>14</v>
      </c>
      <c r="E24" s="14" t="s">
        <v>109</v>
      </c>
      <c r="F24" s="14"/>
      <c r="G24" s="14"/>
      <c r="H24" s="14" t="s">
        <v>110</v>
      </c>
      <c r="I24" s="14"/>
      <c r="J24" s="14"/>
      <c r="K24" s="2"/>
      <c r="L24" s="2"/>
      <c r="M24" s="2"/>
      <c r="N24" s="2"/>
      <c r="O24" s="2"/>
      <c r="P24" s="2"/>
    </row>
    <row r="25" spans="2:16">
      <c r="D25" s="14" t="s">
        <v>15</v>
      </c>
      <c r="E25" s="14" t="s">
        <v>109</v>
      </c>
      <c r="F25" s="14"/>
      <c r="G25" s="14"/>
      <c r="H25" s="14" t="s">
        <v>111</v>
      </c>
      <c r="I25" s="14"/>
      <c r="J25" s="14"/>
      <c r="K25" s="2"/>
      <c r="L25" s="2"/>
      <c r="M25" s="2"/>
      <c r="N25" s="2"/>
      <c r="O25" s="2"/>
      <c r="P25" s="2"/>
    </row>
    <row r="26" spans="2:16">
      <c r="D26" s="14" t="s">
        <v>102</v>
      </c>
      <c r="E26" s="14" t="s">
        <v>109</v>
      </c>
      <c r="F26" s="14"/>
      <c r="G26" s="14"/>
      <c r="H26" s="14" t="s">
        <v>112</v>
      </c>
      <c r="I26" s="14"/>
      <c r="J26" s="14"/>
      <c r="K26" s="2"/>
      <c r="L26" s="2"/>
      <c r="M26" s="2"/>
      <c r="N26" s="2"/>
      <c r="O26" s="2"/>
      <c r="P26" s="2"/>
    </row>
    <row r="27" spans="2:16">
      <c r="D27" s="14" t="s">
        <v>17</v>
      </c>
      <c r="E27" s="14" t="s">
        <v>107</v>
      </c>
      <c r="F27" s="14">
        <f>'1_Inputs&amp;Hyp'!F26</f>
        <v>4534</v>
      </c>
      <c r="G27" s="14">
        <f>F43</f>
        <v>80</v>
      </c>
      <c r="H27" s="14" t="s">
        <v>113</v>
      </c>
      <c r="I27" s="14"/>
      <c r="J27" s="14"/>
      <c r="K27" s="2"/>
      <c r="L27" s="2"/>
      <c r="M27" s="2"/>
      <c r="N27" s="2"/>
      <c r="O27" s="2"/>
      <c r="P27" s="2"/>
    </row>
    <row r="28" spans="2:16" ht="15.6" thickBot="1">
      <c r="D28" s="18" t="s">
        <v>20</v>
      </c>
      <c r="E28" s="18" t="s">
        <v>107</v>
      </c>
      <c r="F28" s="18">
        <f>'1_Inputs&amp;Hyp'!F27</f>
        <v>55920</v>
      </c>
      <c r="G28" s="18">
        <f>F44</f>
        <v>30</v>
      </c>
      <c r="H28" s="18" t="s">
        <v>113</v>
      </c>
      <c r="I28" s="14"/>
      <c r="J28" s="14"/>
      <c r="K28" s="2"/>
      <c r="L28" s="2"/>
      <c r="M28" s="2"/>
      <c r="N28" s="2"/>
      <c r="O28" s="2"/>
      <c r="P28" s="2"/>
    </row>
    <row r="29" spans="2:16" ht="15.6" thickTop="1">
      <c r="D29" s="21" t="s">
        <v>103</v>
      </c>
      <c r="E29" s="14"/>
      <c r="F29" s="14"/>
      <c r="G29" s="14"/>
      <c r="H29" s="14"/>
      <c r="I29" s="14"/>
      <c r="J29" s="14"/>
      <c r="K29" s="2"/>
      <c r="L29" s="2"/>
      <c r="M29" s="2"/>
      <c r="N29" s="2"/>
      <c r="O29" s="2"/>
      <c r="P29" s="2"/>
    </row>
    <row r="30" spans="2:16">
      <c r="D30" s="14"/>
      <c r="E30" s="14"/>
      <c r="F30" s="14"/>
      <c r="G30" s="14"/>
      <c r="H30" s="14"/>
      <c r="I30" s="14"/>
      <c r="J30" s="14"/>
      <c r="K30" s="2"/>
      <c r="L30" s="2"/>
      <c r="M30" s="2"/>
      <c r="N30" s="2"/>
      <c r="O30" s="2"/>
      <c r="P30" s="2"/>
    </row>
    <row r="31" spans="2:16" ht="16.2" customHeight="1">
      <c r="B31" s="3" t="s">
        <v>27</v>
      </c>
      <c r="D31" s="101" t="s">
        <v>114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</row>
    <row r="32" spans="2:16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4:16" ht="15.6" thickBot="1">
      <c r="D33" s="22" t="s">
        <v>29</v>
      </c>
      <c r="E33" s="22" t="s">
        <v>6</v>
      </c>
      <c r="F33" s="22" t="s">
        <v>30</v>
      </c>
      <c r="G33" s="22" t="s">
        <v>31</v>
      </c>
      <c r="H33" s="22" t="s">
        <v>32</v>
      </c>
      <c r="I33" s="2"/>
      <c r="J33" s="2"/>
      <c r="K33" s="2"/>
      <c r="L33" s="2"/>
      <c r="M33" s="2"/>
      <c r="N33" s="2"/>
      <c r="O33" s="2"/>
      <c r="P33" s="2"/>
    </row>
    <row r="34" spans="4:16">
      <c r="D34" s="2" t="s">
        <v>34</v>
      </c>
      <c r="E34" s="2" t="s">
        <v>35</v>
      </c>
      <c r="F34" s="7">
        <f>'1_Inputs&amp;Hyp'!F34</f>
        <v>5.0000000000000001E-3</v>
      </c>
      <c r="G34" s="7">
        <f>'1_Inputs&amp;Hyp'!G34</f>
        <v>0.01</v>
      </c>
      <c r="H34" s="7">
        <f>'1_Inputs&amp;Hyp'!H34</f>
        <v>0.01</v>
      </c>
      <c r="I34" s="2"/>
      <c r="J34" s="2"/>
      <c r="K34" s="2"/>
      <c r="L34" s="2"/>
      <c r="M34" s="2"/>
      <c r="N34" s="2"/>
      <c r="O34" s="2"/>
      <c r="P34" s="2"/>
    </row>
    <row r="35" spans="4:16">
      <c r="D35" s="2" t="s">
        <v>37</v>
      </c>
      <c r="E35" s="2" t="s">
        <v>35</v>
      </c>
      <c r="F35" s="7">
        <f>'1_Inputs&amp;Hyp'!F35</f>
        <v>5.0000000000000001E-3</v>
      </c>
      <c r="G35" s="7">
        <f>'1_Inputs&amp;Hyp'!G35</f>
        <v>0.01</v>
      </c>
      <c r="H35" s="7">
        <f>'1_Inputs&amp;Hyp'!H35</f>
        <v>0.01</v>
      </c>
      <c r="I35" s="2"/>
      <c r="J35" s="2"/>
      <c r="K35" s="2"/>
      <c r="L35" s="2"/>
      <c r="M35" s="2"/>
      <c r="N35" s="2"/>
      <c r="O35" s="2"/>
      <c r="P35" s="2"/>
    </row>
    <row r="36" spans="4:16">
      <c r="D36" s="2" t="s">
        <v>38</v>
      </c>
      <c r="E36" s="2" t="s">
        <v>35</v>
      </c>
      <c r="F36" s="7">
        <f>'1_Inputs&amp;Hyp'!F36</f>
        <v>5.0000000000000001E-3</v>
      </c>
      <c r="G36" s="7">
        <f>'1_Inputs&amp;Hyp'!G36</f>
        <v>0.01</v>
      </c>
      <c r="H36" s="7">
        <f>'1_Inputs&amp;Hyp'!H36</f>
        <v>0.01</v>
      </c>
      <c r="I36" s="2"/>
      <c r="J36" s="2"/>
      <c r="K36" s="2"/>
      <c r="L36" s="2"/>
      <c r="M36" s="2"/>
      <c r="N36" s="2"/>
      <c r="O36" s="2"/>
      <c r="P36" s="2"/>
    </row>
    <row r="37" spans="4:16">
      <c r="D37" s="2" t="s">
        <v>39</v>
      </c>
      <c r="E37" s="2" t="s">
        <v>35</v>
      </c>
      <c r="F37" s="7">
        <f>'1_Inputs&amp;Hyp'!F37</f>
        <v>0.03</v>
      </c>
      <c r="G37" s="7">
        <f>'1_Inputs&amp;Hyp'!G37</f>
        <v>0.08</v>
      </c>
      <c r="H37" s="7">
        <f>'1_Inputs&amp;Hyp'!H37</f>
        <v>0.1</v>
      </c>
      <c r="I37" s="2"/>
      <c r="J37" s="2"/>
      <c r="K37" s="2"/>
      <c r="L37" s="2"/>
      <c r="M37" s="2"/>
      <c r="N37" s="2"/>
      <c r="O37" s="2"/>
      <c r="P37" s="2"/>
    </row>
    <row r="38" spans="4:16">
      <c r="D38" s="2" t="s">
        <v>41</v>
      </c>
      <c r="E38" s="2" t="s">
        <v>35</v>
      </c>
      <c r="F38" s="7">
        <f>'1_Inputs&amp;Hyp'!F38</f>
        <v>0.05</v>
      </c>
      <c r="G38" s="7">
        <f>'1_Inputs&amp;Hyp'!G38</f>
        <v>0.1</v>
      </c>
      <c r="H38" s="7">
        <f>'1_Inputs&amp;Hyp'!H38</f>
        <v>0.15</v>
      </c>
      <c r="I38" s="2"/>
      <c r="J38" s="2"/>
      <c r="K38" s="2"/>
      <c r="L38" s="2"/>
      <c r="M38" s="2"/>
      <c r="N38" s="2"/>
      <c r="O38" s="2"/>
      <c r="P38" s="2"/>
    </row>
    <row r="39" spans="4:16">
      <c r="D39" s="2" t="s">
        <v>43</v>
      </c>
      <c r="E39" s="2" t="s">
        <v>35</v>
      </c>
      <c r="F39" s="7">
        <f>'1_Inputs&amp;Hyp'!F39</f>
        <v>0.03</v>
      </c>
      <c r="G39" s="7">
        <f>'1_Inputs&amp;Hyp'!G39</f>
        <v>0.08</v>
      </c>
      <c r="H39" s="7">
        <f>'1_Inputs&amp;Hyp'!H39</f>
        <v>0.1</v>
      </c>
      <c r="I39" s="2"/>
      <c r="J39" s="2"/>
      <c r="K39" s="2"/>
      <c r="L39" s="2"/>
      <c r="M39" s="2"/>
      <c r="N39" s="2"/>
      <c r="O39" s="2"/>
      <c r="P39" s="2"/>
    </row>
    <row r="40" spans="4:16">
      <c r="D40" s="2" t="s">
        <v>44</v>
      </c>
      <c r="E40" s="2" t="s">
        <v>45</v>
      </c>
      <c r="F40" s="7">
        <f>'1_Inputs&amp;Hyp'!F40</f>
        <v>0.1</v>
      </c>
      <c r="G40" s="7">
        <f>'1_Inputs&amp;Hyp'!G40</f>
        <v>0.15</v>
      </c>
      <c r="H40" s="7">
        <f>'1_Inputs&amp;Hyp'!H40</f>
        <v>0.2</v>
      </c>
      <c r="I40" s="2"/>
      <c r="J40" s="2"/>
      <c r="K40" s="2"/>
      <c r="L40" s="2"/>
      <c r="M40" s="2"/>
      <c r="N40" s="2"/>
      <c r="O40" s="2"/>
      <c r="P40" s="2"/>
    </row>
    <row r="41" spans="4:16">
      <c r="D41" s="2" t="s">
        <v>46</v>
      </c>
      <c r="E41" s="2" t="s">
        <v>45</v>
      </c>
      <c r="F41" s="7">
        <f>'1_Inputs&amp;Hyp'!F41</f>
        <v>0.15</v>
      </c>
      <c r="G41" s="7">
        <f>'1_Inputs&amp;Hyp'!G41</f>
        <v>0.25</v>
      </c>
      <c r="H41" s="7">
        <f>'1_Inputs&amp;Hyp'!H41</f>
        <v>0.4</v>
      </c>
      <c r="I41" s="2"/>
      <c r="J41" s="2"/>
      <c r="K41" s="2"/>
      <c r="L41" s="2"/>
      <c r="M41" s="2"/>
      <c r="N41" s="2"/>
      <c r="O41" s="2"/>
      <c r="P41" s="2"/>
    </row>
    <row r="42" spans="4:16">
      <c r="D42" s="2" t="s">
        <v>47</v>
      </c>
      <c r="E42" s="2" t="s">
        <v>45</v>
      </c>
      <c r="F42" s="7">
        <f>'1_Inputs&amp;Hyp'!F42</f>
        <v>0.1</v>
      </c>
      <c r="G42" s="7">
        <f>'1_Inputs&amp;Hyp'!G42</f>
        <v>0.15</v>
      </c>
      <c r="H42" s="7">
        <f>'1_Inputs&amp;Hyp'!H42</f>
        <v>0.2</v>
      </c>
      <c r="I42" s="2"/>
      <c r="J42" s="2"/>
      <c r="K42" s="2"/>
      <c r="L42" s="2"/>
      <c r="M42" s="2"/>
      <c r="N42" s="2"/>
      <c r="O42" s="2"/>
      <c r="P42" s="2"/>
    </row>
    <row r="43" spans="4:16">
      <c r="D43" s="2" t="s">
        <v>48</v>
      </c>
      <c r="E43" s="2" t="s">
        <v>115</v>
      </c>
      <c r="F43" s="17">
        <f>'1_Inputs&amp;Hyp'!F43</f>
        <v>80</v>
      </c>
      <c r="G43" s="17">
        <f>'1_Inputs&amp;Hyp'!G43</f>
        <v>80</v>
      </c>
      <c r="H43" s="17">
        <f>'1_Inputs&amp;Hyp'!H43</f>
        <v>80</v>
      </c>
      <c r="I43" s="2"/>
      <c r="J43" s="2"/>
      <c r="K43" s="2"/>
      <c r="L43" s="2"/>
      <c r="M43" s="2"/>
      <c r="N43" s="2"/>
      <c r="O43" s="2"/>
      <c r="P43" s="2"/>
    </row>
    <row r="44" spans="4:16">
      <c r="D44" s="2" t="s">
        <v>50</v>
      </c>
      <c r="E44" s="2" t="s">
        <v>115</v>
      </c>
      <c r="F44" s="17">
        <f>'1_Inputs&amp;Hyp'!F44</f>
        <v>30</v>
      </c>
      <c r="G44" s="17">
        <f>'1_Inputs&amp;Hyp'!G44</f>
        <v>30</v>
      </c>
      <c r="H44" s="17">
        <f>'1_Inputs&amp;Hyp'!H44</f>
        <v>30</v>
      </c>
      <c r="I44" s="2"/>
      <c r="J44" s="2"/>
      <c r="K44" s="2"/>
      <c r="L44" s="2"/>
      <c r="M44" s="2"/>
      <c r="N44" s="2"/>
      <c r="O44" s="2"/>
      <c r="P44" s="2"/>
    </row>
    <row r="45" spans="4:16">
      <c r="D45" s="2" t="s">
        <v>51</v>
      </c>
      <c r="E45" s="2" t="s">
        <v>115</v>
      </c>
      <c r="F45" s="17">
        <f>'1_Inputs&amp;Hyp'!F45</f>
        <v>30</v>
      </c>
      <c r="G45" s="17">
        <f>'1_Inputs&amp;Hyp'!G45</f>
        <v>30</v>
      </c>
      <c r="H45" s="17">
        <f>'1_Inputs&amp;Hyp'!H45</f>
        <v>30</v>
      </c>
      <c r="I45" s="2"/>
      <c r="J45" s="2"/>
      <c r="K45" s="2"/>
      <c r="L45" s="2"/>
      <c r="M45" s="2"/>
      <c r="N45" s="2"/>
      <c r="O45" s="2"/>
      <c r="P45" s="2"/>
    </row>
    <row r="46" spans="4:16">
      <c r="D46" s="2" t="s">
        <v>152</v>
      </c>
      <c r="E46" s="2" t="s">
        <v>45</v>
      </c>
      <c r="F46" s="7">
        <f>'1_Inputs&amp;Hyp'!F46</f>
        <v>1</v>
      </c>
      <c r="G46" s="7">
        <f>'1_Inputs&amp;Hyp'!G46</f>
        <v>1</v>
      </c>
      <c r="H46" s="7">
        <f>'1_Inputs&amp;Hyp'!H46</f>
        <v>1</v>
      </c>
      <c r="I46" s="2"/>
      <c r="J46" s="2"/>
      <c r="K46" s="2"/>
      <c r="L46" s="2"/>
      <c r="M46" s="2"/>
      <c r="N46" s="2"/>
      <c r="O46" s="2"/>
      <c r="P46" s="2"/>
    </row>
    <row r="47" spans="4:16">
      <c r="D47" s="2" t="s">
        <v>54</v>
      </c>
      <c r="E47" s="2" t="s">
        <v>45</v>
      </c>
      <c r="F47" s="7">
        <f>'1_Inputs&amp;Hyp'!F47</f>
        <v>0.2</v>
      </c>
      <c r="G47" s="7">
        <f>'1_Inputs&amp;Hyp'!G47</f>
        <v>0.35</v>
      </c>
      <c r="H47" s="7">
        <f>'1_Inputs&amp;Hyp'!H47</f>
        <v>0.5</v>
      </c>
      <c r="I47" s="2"/>
      <c r="J47" s="2"/>
      <c r="K47" s="2"/>
      <c r="L47" s="2"/>
      <c r="M47" s="2"/>
      <c r="N47" s="2"/>
      <c r="O47" s="2"/>
      <c r="P47" s="2"/>
    </row>
    <row r="48" spans="4:16">
      <c r="D48" s="2" t="s">
        <v>55</v>
      </c>
      <c r="E48" s="2" t="s">
        <v>45</v>
      </c>
      <c r="F48" s="7">
        <f>'1_Inputs&amp;Hyp'!F48</f>
        <v>0.1</v>
      </c>
      <c r="G48" s="7">
        <f>'1_Inputs&amp;Hyp'!G48</f>
        <v>0.2</v>
      </c>
      <c r="H48" s="7">
        <f>'1_Inputs&amp;Hyp'!H48</f>
        <v>0.35</v>
      </c>
      <c r="I48" s="2"/>
      <c r="J48" s="2"/>
      <c r="K48" s="2"/>
      <c r="L48" s="2"/>
      <c r="M48" s="2"/>
      <c r="N48" s="2"/>
      <c r="O48" s="2"/>
      <c r="P48" s="2"/>
    </row>
    <row r="49" spans="2:18">
      <c r="D49" s="2" t="s">
        <v>56</v>
      </c>
      <c r="E49" s="2" t="s">
        <v>45</v>
      </c>
      <c r="F49" s="7">
        <f>'1_Inputs&amp;Hyp'!F49</f>
        <v>0.25</v>
      </c>
      <c r="G49" s="7">
        <f>'1_Inputs&amp;Hyp'!G49</f>
        <v>0.6</v>
      </c>
      <c r="H49" s="7">
        <f>'1_Inputs&amp;Hyp'!H49</f>
        <v>1</v>
      </c>
      <c r="I49" s="2"/>
      <c r="J49" s="2"/>
      <c r="K49" s="2"/>
      <c r="L49" s="2"/>
      <c r="M49" s="2"/>
      <c r="N49" s="2"/>
      <c r="O49" s="2"/>
      <c r="P49" s="2"/>
    </row>
    <row r="50" spans="2:18">
      <c r="D50" s="2" t="s">
        <v>58</v>
      </c>
      <c r="E50" s="2" t="s">
        <v>45</v>
      </c>
      <c r="F50" s="7">
        <f>'1_Inputs&amp;Hyp'!F50</f>
        <v>0.15</v>
      </c>
      <c r="G50" s="7">
        <f>'1_Inputs&amp;Hyp'!G50</f>
        <v>0.4</v>
      </c>
      <c r="H50" s="7">
        <f>'1_Inputs&amp;Hyp'!H50</f>
        <v>0.75</v>
      </c>
      <c r="I50" s="2"/>
      <c r="J50" s="2"/>
      <c r="K50" s="2"/>
      <c r="L50" s="2"/>
      <c r="M50" s="2"/>
      <c r="N50" s="2"/>
      <c r="O50" s="2"/>
      <c r="P50" s="2"/>
    </row>
    <row r="51" spans="2:18">
      <c r="D51" s="2" t="s">
        <v>59</v>
      </c>
      <c r="E51" s="2" t="s">
        <v>45</v>
      </c>
      <c r="F51" s="7">
        <f>'1_Inputs&amp;Hyp'!F51</f>
        <v>0.1</v>
      </c>
      <c r="G51" s="7">
        <f>'1_Inputs&amp;Hyp'!G51</f>
        <v>0.3</v>
      </c>
      <c r="H51" s="7">
        <f>'1_Inputs&amp;Hyp'!H51</f>
        <v>0.6</v>
      </c>
      <c r="I51" s="2"/>
      <c r="J51" s="2"/>
      <c r="K51" s="2"/>
      <c r="L51" s="2"/>
      <c r="M51" s="2"/>
      <c r="N51" s="2"/>
      <c r="O51" s="2"/>
      <c r="P51" s="2"/>
    </row>
    <row r="52" spans="2:18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8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8" ht="16.2" customHeight="1">
      <c r="B54" s="3" t="s">
        <v>60</v>
      </c>
      <c r="D54" s="101" t="s">
        <v>116</v>
      </c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</row>
    <row r="55" spans="2:18" ht="16.2" customHeight="1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</row>
    <row r="56" spans="2:18" ht="16.2" customHeight="1">
      <c r="C56" s="3" t="s">
        <v>117</v>
      </c>
      <c r="D56" s="68" t="s">
        <v>118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</row>
    <row r="57" spans="2:18" ht="16.2" customHeight="1"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</row>
    <row r="58" spans="2:18" ht="15.6" thickBot="1">
      <c r="D58" s="22" t="s">
        <v>5</v>
      </c>
      <c r="E58" s="22" t="s">
        <v>4</v>
      </c>
      <c r="F58" s="22" t="s">
        <v>119</v>
      </c>
      <c r="G58" s="22" t="s">
        <v>120</v>
      </c>
      <c r="H58" s="22" t="s">
        <v>121</v>
      </c>
      <c r="I58" s="22" t="s">
        <v>122</v>
      </c>
      <c r="J58" s="22" t="s">
        <v>123</v>
      </c>
      <c r="K58" s="22" t="s">
        <v>124</v>
      </c>
      <c r="L58" s="22" t="s">
        <v>125</v>
      </c>
      <c r="M58" s="22" t="s">
        <v>126</v>
      </c>
      <c r="N58" s="22" t="s">
        <v>127</v>
      </c>
      <c r="O58" s="22" t="s">
        <v>128</v>
      </c>
      <c r="P58" s="22" t="s">
        <v>129</v>
      </c>
    </row>
    <row r="59" spans="2:18">
      <c r="B59" s="1" t="s">
        <v>118</v>
      </c>
      <c r="C59" s="1" t="s">
        <v>165</v>
      </c>
      <c r="D59" s="2" t="s">
        <v>9</v>
      </c>
      <c r="E59" s="8">
        <f>F$9</f>
        <v>80</v>
      </c>
      <c r="F59" s="15">
        <f>(1+_xlfn.XLOOKUP($D$56,$F$33:$H$33,$F$34:$H$34))^9</f>
        <v>1.045910579145064</v>
      </c>
      <c r="G59" s="15">
        <f>(1+_xlfn.XLOOKUP($D$56,$F$33:$H$33,$F$37:$H$37))^9</f>
        <v>1.3047731838292445</v>
      </c>
      <c r="H59" s="23">
        <f>('1_Inputs&amp;Hyp'!F59/'1_Inputs&amp;Hyp'!F57)*'1_Inputs&amp;Hyp'!F62</f>
        <v>5.3215144230769225</v>
      </c>
      <c r="I59" s="8">
        <f>H$9*F59*G59+G$9*H59</f>
        <v>351.17431939385239</v>
      </c>
      <c r="J59" s="15">
        <f>_xlfn.XLOOKUP($D$56,$F$33:$H$33,$F$40:$H$40)</f>
        <v>0.1</v>
      </c>
      <c r="K59" s="8">
        <f t="shared" ref="K59:K66" si="2">I59*J59</f>
        <v>35.117431939385241</v>
      </c>
      <c r="L59" s="8">
        <f>I59+K59</f>
        <v>386.29175133323764</v>
      </c>
      <c r="M59" s="15">
        <f t="shared" ref="M59:M64" si="3">_xlfn.XLOOKUP($D$56,$F$33:$H$33,$F$46:$H$46)</f>
        <v>1</v>
      </c>
      <c r="N59" s="15">
        <f>_xlfn.XLOOKUP($D$56,$F$33:$H$33,$F$49:$H$49)</f>
        <v>0.25</v>
      </c>
      <c r="O59" s="8">
        <f>I59*M59+K59*N59</f>
        <v>359.95367737869867</v>
      </c>
      <c r="P59" s="4">
        <f>O59/1000</f>
        <v>0.35995367737869866</v>
      </c>
      <c r="R59" s="69">
        <f>O59</f>
        <v>359.95367737869867</v>
      </c>
    </row>
    <row r="60" spans="2:18">
      <c r="B60" s="1" t="s">
        <v>118</v>
      </c>
      <c r="C60" s="1" t="s">
        <v>165</v>
      </c>
      <c r="D60" s="2" t="s">
        <v>153</v>
      </c>
      <c r="E60" s="8">
        <f>F$10</f>
        <v>20</v>
      </c>
      <c r="F60" s="37">
        <f>(1+_xlfn.XLOOKUP($D$56,$F$33:$H$33,$F$34:$H$34))^9</f>
        <v>1.045910579145064</v>
      </c>
      <c r="G60" s="37">
        <f>(1+_xlfn.XLOOKUP($D$56,$F$33:$H$33,$F$37:$H$37))^9</f>
        <v>1.3047731838292445</v>
      </c>
      <c r="H60" s="30">
        <v>1</v>
      </c>
      <c r="I60" s="8">
        <f>H$10*F60*G60+G$10*H60</f>
        <v>27.293521527035882</v>
      </c>
      <c r="J60" s="37">
        <f>_xlfn.XLOOKUP($D$56,$F$33:$H$33,$F$40:$H$40)</f>
        <v>0.1</v>
      </c>
      <c r="K60" s="8">
        <f t="shared" si="2"/>
        <v>2.7293521527035884</v>
      </c>
      <c r="L60" s="8">
        <f t="shared" ref="L60:L66" si="4">I60+K60</f>
        <v>30.022873679739469</v>
      </c>
      <c r="M60" s="37">
        <f t="shared" si="3"/>
        <v>1</v>
      </c>
      <c r="N60" s="37">
        <f>_xlfn.XLOOKUP($D$56,$F$33:$H$33,$F$49:$H$49)</f>
        <v>0.25</v>
      </c>
      <c r="O60" s="8">
        <f t="shared" ref="O60:O66" si="5">I60*M60+K60*N60</f>
        <v>27.975859565211778</v>
      </c>
      <c r="P60" s="4">
        <f t="shared" ref="P60:P66" si="6">O60/1000</f>
        <v>2.7975859565211779E-2</v>
      </c>
      <c r="R60" s="70">
        <f>O60+O61+O62</f>
        <v>158.39824081490625</v>
      </c>
    </row>
    <row r="61" spans="2:18">
      <c r="B61" s="1" t="s">
        <v>118</v>
      </c>
      <c r="C61" s="1" t="s">
        <v>165</v>
      </c>
      <c r="D61" s="2" t="s">
        <v>148</v>
      </c>
      <c r="E61" s="8">
        <f>F$11</f>
        <v>10</v>
      </c>
      <c r="F61" s="37">
        <f>(1+_xlfn.XLOOKUP($D$56,$F$33:$H$33,$F$34:$H$34))^9</f>
        <v>1.045910579145064</v>
      </c>
      <c r="G61" s="37">
        <f>(1+_xlfn.XLOOKUP($D$56,$F$33:$H$33,$F$37:$H$37))^9</f>
        <v>1.3047731838292445</v>
      </c>
      <c r="H61" s="72">
        <f>(1+_xlfn.XLOOKUP(D56,'1_Inputs&amp;Hyp'!$F$72:$H$72,'1_Inputs&amp;Hyp'!$F$74:$H$74))^9</f>
        <v>1.9172386624788014</v>
      </c>
      <c r="I61" s="8">
        <f>H$11*F61*G61+G$11*H61</f>
        <v>18.067261452533998</v>
      </c>
      <c r="J61" s="37">
        <f>_xlfn.XLOOKUP($D$56,$F$33:$H$33,$F$40:$H$40)</f>
        <v>0.1</v>
      </c>
      <c r="K61" s="8">
        <f>I61*J61</f>
        <v>1.8067261452533998</v>
      </c>
      <c r="L61" s="8">
        <f t="shared" si="4"/>
        <v>19.873987597787398</v>
      </c>
      <c r="M61" s="37">
        <f t="shared" si="3"/>
        <v>1</v>
      </c>
      <c r="N61" s="37">
        <f>_xlfn.XLOOKUP($D$56,$F$33:$H$33,$F$49:$H$49)</f>
        <v>0.25</v>
      </c>
      <c r="O61" s="8">
        <f t="shared" si="5"/>
        <v>18.51894298884735</v>
      </c>
      <c r="P61" s="4">
        <f t="shared" si="6"/>
        <v>1.8518942988847351E-2</v>
      </c>
      <c r="R61" s="69">
        <f>O63</f>
        <v>127.20891371023829</v>
      </c>
    </row>
    <row r="62" spans="2:18">
      <c r="B62" s="1" t="s">
        <v>118</v>
      </c>
      <c r="C62" s="1" t="s">
        <v>165</v>
      </c>
      <c r="D62" s="2" t="s">
        <v>14</v>
      </c>
      <c r="E62" s="8">
        <f>F$12</f>
        <v>80</v>
      </c>
      <c r="F62" s="15">
        <f>(1+_xlfn.XLOOKUP($D$56,$F$33:$H$33,$F$34:$H$34))^9</f>
        <v>1.045910579145064</v>
      </c>
      <c r="G62" s="15">
        <f>(1+_xlfn.XLOOKUP($D$56,$F$33:$H$33,$F$37:$H$37))^9</f>
        <v>1.3047731838292445</v>
      </c>
      <c r="H62" s="30">
        <v>1</v>
      </c>
      <c r="I62" s="8">
        <f>H$12*F62*G62+G$12*H62</f>
        <v>109.17408610814353</v>
      </c>
      <c r="J62" s="15">
        <f>_xlfn.XLOOKUP($D$56,$F$33:$H$33,$F$40:$H$40)</f>
        <v>0.1</v>
      </c>
      <c r="K62" s="8">
        <f t="shared" si="2"/>
        <v>10.917408610814354</v>
      </c>
      <c r="L62" s="8">
        <f t="shared" si="4"/>
        <v>120.09149471895788</v>
      </c>
      <c r="M62" s="15">
        <f t="shared" si="3"/>
        <v>1</v>
      </c>
      <c r="N62" s="15">
        <f>_xlfn.XLOOKUP($D$56,$F$33:$H$33,$F$49:$H$49)</f>
        <v>0.25</v>
      </c>
      <c r="O62" s="8">
        <f t="shared" si="5"/>
        <v>111.90343826084711</v>
      </c>
      <c r="P62" s="4">
        <f t="shared" si="6"/>
        <v>0.11190343826084712</v>
      </c>
      <c r="R62" s="69">
        <f t="shared" ref="R62:R64" si="7">O64</f>
        <v>220.53165393844992</v>
      </c>
    </row>
    <row r="63" spans="2:18">
      <c r="B63" s="1" t="s">
        <v>118</v>
      </c>
      <c r="C63" s="1" t="s">
        <v>165</v>
      </c>
      <c r="D63" s="2" t="s">
        <v>15</v>
      </c>
      <c r="E63" s="8">
        <f>F$13</f>
        <v>80</v>
      </c>
      <c r="F63" s="37">
        <f>(1+_xlfn.XLOOKUP(D56,'1_Inputs&amp;Hyp'!$F$66:$H$66,'1_Inputs&amp;Hyp'!$F$67:$H$67))^9</f>
        <v>1</v>
      </c>
      <c r="G63" s="37">
        <f>(1+_xlfn.XLOOKUP($D$56,$F$33:$H$33,$F$37:$H$37))^9</f>
        <v>1.3047731838292445</v>
      </c>
      <c r="H63" s="23">
        <f>(1+_xlfn.XLOOKUP(D56,'1_Inputs&amp;Hyp'!$F$66:$H$66,'1_Inputs&amp;Hyp'!$F$68:$H$68))^9</f>
        <v>1.5513282159785158</v>
      </c>
      <c r="I63" s="8">
        <f>H$13*F63*G63+G$13*H63</f>
        <v>124.10625727828126</v>
      </c>
      <c r="J63" s="15">
        <f>_xlfn.XLOOKUP($D$56,$F$33:$H$33,$F$40:$H$40)</f>
        <v>0.1</v>
      </c>
      <c r="K63" s="8">
        <f t="shared" si="2"/>
        <v>12.410625727828126</v>
      </c>
      <c r="L63" s="8">
        <f t="shared" si="4"/>
        <v>136.5168830061094</v>
      </c>
      <c r="M63" s="15">
        <f t="shared" si="3"/>
        <v>1</v>
      </c>
      <c r="N63" s="15">
        <f>_xlfn.XLOOKUP($D$56,$F$33:$H$33,$F$49:$H$49)</f>
        <v>0.25</v>
      </c>
      <c r="O63" s="8">
        <f t="shared" si="5"/>
        <v>127.20891371023829</v>
      </c>
      <c r="P63" s="4">
        <f t="shared" si="6"/>
        <v>0.12720891371023829</v>
      </c>
      <c r="R63" s="69">
        <f t="shared" si="7"/>
        <v>130.94827010350886</v>
      </c>
    </row>
    <row r="64" spans="2:18">
      <c r="B64" s="1" t="s">
        <v>118</v>
      </c>
      <c r="C64" s="1" t="s">
        <v>164</v>
      </c>
      <c r="D64" s="2" t="s">
        <v>102</v>
      </c>
      <c r="E64" s="8">
        <f>F$14</f>
        <v>160</v>
      </c>
      <c r="F64" s="15">
        <f>(1+_xlfn.XLOOKUP($D$56,$F$33:$H$33,$F$36:$H$36))^9</f>
        <v>1.045910579145064</v>
      </c>
      <c r="G64" s="15">
        <f>(1+_xlfn.XLOOKUP($D$56,$F$33:$H$33,$F$39:$H$39))^9</f>
        <v>1.3047731838292445</v>
      </c>
      <c r="H64" s="30">
        <v>1</v>
      </c>
      <c r="I64" s="8">
        <f>H$14*F64*G64+G$14*H64</f>
        <v>218.34817221628705</v>
      </c>
      <c r="J64" s="15">
        <f>_xlfn.XLOOKUP($D$56,$F$33:$H$33,$F$42:$H$42)</f>
        <v>0.1</v>
      </c>
      <c r="K64" s="8">
        <f t="shared" si="2"/>
        <v>21.834817221628708</v>
      </c>
      <c r="L64" s="8">
        <f t="shared" si="4"/>
        <v>240.18298943791575</v>
      </c>
      <c r="M64" s="15">
        <f t="shared" si="3"/>
        <v>1</v>
      </c>
      <c r="N64" s="15">
        <f>_xlfn.XLOOKUP($D$56,$F$33:$H$33,$F$51:$H$51)</f>
        <v>0.1</v>
      </c>
      <c r="O64" s="8">
        <f t="shared" si="5"/>
        <v>220.53165393844992</v>
      </c>
      <c r="P64" s="4">
        <f t="shared" si="6"/>
        <v>0.22053165393844992</v>
      </c>
      <c r="R64" s="69">
        <f t="shared" si="7"/>
        <v>251.83186442565469</v>
      </c>
    </row>
    <row r="65" spans="2:18">
      <c r="B65" s="1" t="s">
        <v>118</v>
      </c>
      <c r="C65" s="1" t="s">
        <v>164</v>
      </c>
      <c r="D65" s="2" t="s">
        <v>17</v>
      </c>
      <c r="E65" s="8">
        <f>F$15</f>
        <v>362.72</v>
      </c>
      <c r="F65" s="15">
        <f>(1+_xlfn.XLOOKUP($D$56,$F$33:$H$33,$F$35:$H$35))^9</f>
        <v>1.045910579145064</v>
      </c>
      <c r="G65" s="15">
        <f>(1+_xlfn.XLOOKUP($D$56,$F$33:$H$33,$F$38:$H$38))^9</f>
        <v>1.5513282159785158</v>
      </c>
      <c r="H65" s="30">
        <v>1</v>
      </c>
      <c r="I65" s="8">
        <f>H$15*F65*G65+G$15*H65</f>
        <v>588.53155102700612</v>
      </c>
      <c r="J65" s="15">
        <f>_xlfn.XLOOKUP($D$56,$F$33:$H$33,$F$41:$H$41)</f>
        <v>0.15</v>
      </c>
      <c r="K65" s="8">
        <f t="shared" si="2"/>
        <v>88.279732654050918</v>
      </c>
      <c r="L65" s="8">
        <f t="shared" si="4"/>
        <v>676.81128368105703</v>
      </c>
      <c r="M65" s="15">
        <f>_xlfn.XLOOKUP($D$56,$F$33:$H$33,$F$47:$H$47)</f>
        <v>0.2</v>
      </c>
      <c r="N65" s="15">
        <f>_xlfn.XLOOKUP($D$56,$F$33:$H$33,$F$50:$H$50)</f>
        <v>0.15</v>
      </c>
      <c r="O65" s="8">
        <f t="shared" si="5"/>
        <v>130.94827010350886</v>
      </c>
      <c r="P65" s="4">
        <f t="shared" si="6"/>
        <v>0.13094827010350887</v>
      </c>
      <c r="R65" s="69"/>
    </row>
    <row r="66" spans="2:18">
      <c r="B66" s="1" t="s">
        <v>118</v>
      </c>
      <c r="C66" s="1" t="s">
        <v>164</v>
      </c>
      <c r="D66" s="2" t="s">
        <v>20</v>
      </c>
      <c r="E66" s="8">
        <f>F$16</f>
        <v>1677.6</v>
      </c>
      <c r="F66" s="15">
        <f>(1+_xlfn.XLOOKUP($D$56,$F$33:$H$33,$F$36:$H$36))^9</f>
        <v>1.045910579145064</v>
      </c>
      <c r="G66" s="15">
        <f>(1+_xlfn.XLOOKUP($D$56,$F$33:$H$33,$F$39:$H$39))^9</f>
        <v>1.3047731838292445</v>
      </c>
      <c r="H66" s="30">
        <v>1</v>
      </c>
      <c r="I66" s="8">
        <f>H$16*F66*G66+G$16*H66</f>
        <v>2289.3805856877698</v>
      </c>
      <c r="J66" s="15">
        <f>_xlfn.XLOOKUP($D$56,$F$33:$H$33,$F$42:$H$42)</f>
        <v>0.1</v>
      </c>
      <c r="K66" s="8">
        <f t="shared" si="2"/>
        <v>228.938058568777</v>
      </c>
      <c r="L66" s="8">
        <f t="shared" si="4"/>
        <v>2518.3186442565466</v>
      </c>
      <c r="M66" s="15">
        <f>_xlfn.XLOOKUP($D$56,$F$33:$H$33,$F$48:$H$48)</f>
        <v>0.1</v>
      </c>
      <c r="N66" s="15">
        <f>_xlfn.XLOOKUP($D$56,$F$33:$H$33,$F$51:$H$51)</f>
        <v>0.1</v>
      </c>
      <c r="O66" s="8">
        <f t="shared" si="5"/>
        <v>251.83186442565469</v>
      </c>
      <c r="P66" s="4">
        <f t="shared" si="6"/>
        <v>0.25183186442565469</v>
      </c>
      <c r="R66" s="69"/>
    </row>
    <row r="67" spans="2:18">
      <c r="D67" s="2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4"/>
    </row>
    <row r="68" spans="2:18">
      <c r="B68" s="1" t="s">
        <v>118</v>
      </c>
      <c r="D68" s="5" t="s">
        <v>103</v>
      </c>
      <c r="E68" s="16">
        <f>SUM(E59:E66)</f>
        <v>2470.3199999999997</v>
      </c>
      <c r="F68" s="16"/>
      <c r="G68" s="16"/>
      <c r="H68" s="16"/>
      <c r="I68" s="16">
        <f>SUM(I59:I66)</f>
        <v>3726.0757546909099</v>
      </c>
      <c r="J68" s="16"/>
      <c r="K68" s="16">
        <f>SUM(K59:K66)</f>
        <v>402.03415302044129</v>
      </c>
      <c r="L68" s="16">
        <f>SUM(L59:L66)</f>
        <v>4128.1099077113513</v>
      </c>
      <c r="M68" s="16"/>
      <c r="N68" s="16"/>
      <c r="O68" s="16">
        <f>SUM(O59:O66)</f>
        <v>1248.8726203714568</v>
      </c>
      <c r="P68" s="16">
        <f>SUM(P59:P66)</f>
        <v>1.2488726203714566</v>
      </c>
    </row>
    <row r="69" spans="2:18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2:18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2:18" ht="16.2" customHeight="1">
      <c r="C71" s="3" t="s">
        <v>130</v>
      </c>
      <c r="D71" s="68" t="s">
        <v>131</v>
      </c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</row>
    <row r="72" spans="2:18" ht="16.2" customHeight="1"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</row>
    <row r="73" spans="2:18" ht="15.6" thickBot="1">
      <c r="D73" s="22" t="s">
        <v>5</v>
      </c>
      <c r="E73" s="22" t="s">
        <v>4</v>
      </c>
      <c r="F73" s="22" t="s">
        <v>119</v>
      </c>
      <c r="G73" s="22" t="s">
        <v>120</v>
      </c>
      <c r="H73" s="22" t="s">
        <v>121</v>
      </c>
      <c r="I73" s="22" t="s">
        <v>122</v>
      </c>
      <c r="J73" s="22" t="s">
        <v>123</v>
      </c>
      <c r="K73" s="22" t="s">
        <v>124</v>
      </c>
      <c r="L73" s="22" t="s">
        <v>125</v>
      </c>
      <c r="M73" s="22" t="s">
        <v>126</v>
      </c>
      <c r="N73" s="22" t="s">
        <v>127</v>
      </c>
      <c r="O73" s="22" t="s">
        <v>128</v>
      </c>
      <c r="P73" s="22" t="s">
        <v>129</v>
      </c>
    </row>
    <row r="74" spans="2:18">
      <c r="B74" s="1" t="s">
        <v>131</v>
      </c>
      <c r="C74" s="1" t="s">
        <v>165</v>
      </c>
      <c r="D74" s="2" t="s">
        <v>9</v>
      </c>
      <c r="E74" s="8">
        <f>F$9</f>
        <v>80</v>
      </c>
      <c r="F74" s="15">
        <f>(1+_xlfn.XLOOKUP($D$71,$F$33:$H$33,$F$34:$H$34))^9</f>
        <v>1.0936852726843611</v>
      </c>
      <c r="G74" s="15">
        <f>(1+_xlfn.XLOOKUP($D$71,$F$33:$H$33,$F$37:$H$37))^9</f>
        <v>1.9990046271044331</v>
      </c>
      <c r="H74" s="23">
        <f>('1_Inputs&amp;Hyp'!F59/'1_Inputs&amp;Hyp'!F57)*'1_Inputs&amp;Hyp'!F62</f>
        <v>5.3215144230769225</v>
      </c>
      <c r="I74" s="8">
        <f>H$9*F74*G74+G$9*H74</f>
        <v>366.65337350122206</v>
      </c>
      <c r="J74" s="15">
        <f>_xlfn.XLOOKUP($D$71,$F$33:$H$33,$F$40:$H$40)</f>
        <v>0.15</v>
      </c>
      <c r="K74" s="8">
        <f t="shared" ref="K74:K81" si="8">I74*J74</f>
        <v>54.998006025183308</v>
      </c>
      <c r="L74" s="8">
        <f>I74+K74</f>
        <v>421.65137952640538</v>
      </c>
      <c r="M74" s="15">
        <f t="shared" ref="M74:M79" si="9">_xlfn.XLOOKUP($D$71,$F$33:$H$33,$F$46:$H$46)</f>
        <v>1</v>
      </c>
      <c r="N74" s="15">
        <f>_xlfn.XLOOKUP($D$71,$F$33:$H$33,$F$49:$H$49)</f>
        <v>0.6</v>
      </c>
      <c r="O74" s="8">
        <f>I74*M74+K74*N74</f>
        <v>399.65217711633204</v>
      </c>
      <c r="P74" s="4">
        <f>O74/1000</f>
        <v>0.39965217711633205</v>
      </c>
      <c r="R74" s="69">
        <f>O74</f>
        <v>399.65217711633204</v>
      </c>
    </row>
    <row r="75" spans="2:18">
      <c r="B75" s="1" t="s">
        <v>131</v>
      </c>
      <c r="C75" s="1" t="s">
        <v>165</v>
      </c>
      <c r="D75" s="2" t="s">
        <v>153</v>
      </c>
      <c r="E75" s="8">
        <f>F$10</f>
        <v>20</v>
      </c>
      <c r="F75" s="37">
        <f>(1+_xlfn.XLOOKUP($D$71,$F$33:$H$33,$F$34:$H$34))^9</f>
        <v>1.0936852726843611</v>
      </c>
      <c r="G75" s="37">
        <f>(1+_xlfn.XLOOKUP($D$71,$F$33:$H$33,$F$37:$H$37))^9</f>
        <v>1.9990046271044331</v>
      </c>
      <c r="H75" s="30">
        <v>1</v>
      </c>
      <c r="I75" s="8">
        <f>H$10*F75*G75+G$10*H75</f>
        <v>43.72563841384023</v>
      </c>
      <c r="J75" s="37">
        <f>_xlfn.XLOOKUP($D$71,$F$33:$H$33,$F$40:$H$40)</f>
        <v>0.15</v>
      </c>
      <c r="K75" s="8">
        <f t="shared" si="8"/>
        <v>6.5588457620760341</v>
      </c>
      <c r="L75" s="8">
        <f t="shared" ref="L75:L81" si="10">I75+K75</f>
        <v>50.284484175916262</v>
      </c>
      <c r="M75" s="37">
        <f t="shared" si="9"/>
        <v>1</v>
      </c>
      <c r="N75" s="37">
        <f>_xlfn.XLOOKUP($D$71,$F$33:$H$33,$F$49:$H$49)</f>
        <v>0.6</v>
      </c>
      <c r="O75" s="8">
        <f t="shared" ref="O75:O81" si="11">I75*M75+K75*N75</f>
        <v>47.66094587108585</v>
      </c>
      <c r="P75" s="4">
        <f t="shared" ref="P75:P81" si="12">O75/1000</f>
        <v>4.7660945871085852E-2</v>
      </c>
      <c r="R75" s="70">
        <f>O75+O76+O77</f>
        <v>267.25207070750349</v>
      </c>
    </row>
    <row r="76" spans="2:18">
      <c r="B76" s="1" t="s">
        <v>131</v>
      </c>
      <c r="C76" s="1" t="s">
        <v>165</v>
      </c>
      <c r="D76" s="2" t="s">
        <v>148</v>
      </c>
      <c r="E76" s="8">
        <f>F$11</f>
        <v>10</v>
      </c>
      <c r="F76" s="37">
        <f>(1+_xlfn.XLOOKUP($D$71,$F$33:$H$33,$F$34:$H$34))^9</f>
        <v>1.0936852726843611</v>
      </c>
      <c r="G76" s="37">
        <f>(1+_xlfn.XLOOKUP($D$71,$F$33:$H$33,$F$37:$H$37))^9</f>
        <v>1.9990046271044331</v>
      </c>
      <c r="H76" s="72">
        <f>(1+_xlfn.XLOOKUP(D71,'1_Inputs&amp;Hyp'!$F$72:$H$72,'1_Inputs&amp;Hyp'!$F$74:$H$74))^9</f>
        <v>2.7730787574501883</v>
      </c>
      <c r="I76" s="8">
        <f>H$11*F76*G76+G$11*H76</f>
        <v>26.557193900985531</v>
      </c>
      <c r="J76" s="37">
        <f>_xlfn.XLOOKUP($D$71,$F$33:$H$33,$F$40:$H$40)</f>
        <v>0.15</v>
      </c>
      <c r="K76" s="8">
        <f t="shared" si="8"/>
        <v>3.9835790851478294</v>
      </c>
      <c r="L76" s="8">
        <f t="shared" si="10"/>
        <v>30.540772986133362</v>
      </c>
      <c r="M76" s="37">
        <f t="shared" si="9"/>
        <v>1</v>
      </c>
      <c r="N76" s="37">
        <f>_xlfn.XLOOKUP($D$71,$F$33:$H$33,$F$49:$H$49)</f>
        <v>0.6</v>
      </c>
      <c r="O76" s="8">
        <f t="shared" si="11"/>
        <v>28.947341352074229</v>
      </c>
      <c r="P76" s="4">
        <f t="shared" si="12"/>
        <v>2.8947341352074229E-2</v>
      </c>
      <c r="R76" s="69">
        <f>O78</f>
        <v>205.61303865520011</v>
      </c>
    </row>
    <row r="77" spans="2:18">
      <c r="B77" s="1" t="s">
        <v>131</v>
      </c>
      <c r="C77" s="1" t="s">
        <v>165</v>
      </c>
      <c r="D77" s="2" t="s">
        <v>14</v>
      </c>
      <c r="E77" s="8">
        <f>F$12</f>
        <v>80</v>
      </c>
      <c r="F77" s="37">
        <f>(1+_xlfn.XLOOKUP($D$71,$F$33:$H$33,$F$34:$H$34))^9</f>
        <v>1.0936852726843611</v>
      </c>
      <c r="G77" s="37">
        <f>(1+_xlfn.XLOOKUP($D$71,$F$33:$H$33,$F$37:$H$37))^9</f>
        <v>1.9990046271044331</v>
      </c>
      <c r="H77" s="30">
        <v>1</v>
      </c>
      <c r="I77" s="8">
        <f>H$12*F77*G77+G$12*H77</f>
        <v>174.90255365536092</v>
      </c>
      <c r="J77" s="37">
        <f>_xlfn.XLOOKUP($D$71,$F$33:$H$33,$F$40:$H$40)</f>
        <v>0.15</v>
      </c>
      <c r="K77" s="8">
        <f t="shared" si="8"/>
        <v>26.235383048304136</v>
      </c>
      <c r="L77" s="8">
        <f t="shared" si="10"/>
        <v>201.13793670366505</v>
      </c>
      <c r="M77" s="37">
        <f t="shared" si="9"/>
        <v>1</v>
      </c>
      <c r="N77" s="37">
        <f>_xlfn.XLOOKUP($D$71,$F$33:$H$33,$F$49:$H$49)</f>
        <v>0.6</v>
      </c>
      <c r="O77" s="8">
        <f t="shared" si="11"/>
        <v>190.6437834843434</v>
      </c>
      <c r="P77" s="4">
        <f t="shared" si="12"/>
        <v>0.19064378348434341</v>
      </c>
      <c r="R77" s="69">
        <f t="shared" ref="R77:R79" si="13">O79</f>
        <v>365.54633713970429</v>
      </c>
    </row>
    <row r="78" spans="2:18">
      <c r="B78" s="1" t="s">
        <v>131</v>
      </c>
      <c r="C78" s="1" t="s">
        <v>165</v>
      </c>
      <c r="D78" s="2" t="s">
        <v>15</v>
      </c>
      <c r="E78" s="8">
        <f>F$13</f>
        <v>80</v>
      </c>
      <c r="F78" s="37">
        <f>(1+_xlfn.XLOOKUP(D71,'1_Inputs&amp;Hyp'!$F$66:$H$66,'1_Inputs&amp;Hyp'!$F$67:$H$67))^9</f>
        <v>1.045910579145064</v>
      </c>
      <c r="G78" s="37">
        <f>(1+_xlfn.XLOOKUP($D$71,$F$33:$H$33,$F$37:$H$37))^9</f>
        <v>1.9990046271044331</v>
      </c>
      <c r="H78" s="23">
        <f>(1+_xlfn.XLOOKUP(D71,'1_Inputs&amp;Hyp'!$F$66:$H$66,'1_Inputs&amp;Hyp'!$F$68:$H$68))^9</f>
        <v>2.3579476910000015</v>
      </c>
      <c r="I78" s="8">
        <f>H$13*F78*G78+G$13*H78</f>
        <v>188.63581528000012</v>
      </c>
      <c r="J78" s="15">
        <f>_xlfn.XLOOKUP($D$71,$F$33:$H$33,$F$40:$H$40)</f>
        <v>0.15</v>
      </c>
      <c r="K78" s="8">
        <f t="shared" si="8"/>
        <v>28.295372292000017</v>
      </c>
      <c r="L78" s="8">
        <f t="shared" si="10"/>
        <v>216.93118757200014</v>
      </c>
      <c r="M78" s="15">
        <f t="shared" si="9"/>
        <v>1</v>
      </c>
      <c r="N78" s="15">
        <f>_xlfn.XLOOKUP($D$71,$F$33:$H$33,$F$49:$H$49)</f>
        <v>0.6</v>
      </c>
      <c r="O78" s="8">
        <f>I78*M78+K78*N78</f>
        <v>205.61303865520011</v>
      </c>
      <c r="P78" s="4">
        <f>O78/1000</f>
        <v>0.20561303865520011</v>
      </c>
      <c r="R78" s="69">
        <f t="shared" si="13"/>
        <v>420.93064713191097</v>
      </c>
    </row>
    <row r="79" spans="2:18">
      <c r="B79" s="1" t="s">
        <v>131</v>
      </c>
      <c r="C79" s="1" t="s">
        <v>164</v>
      </c>
      <c r="D79" s="2" t="s">
        <v>102</v>
      </c>
      <c r="E79" s="8">
        <f>F$14</f>
        <v>160</v>
      </c>
      <c r="F79" s="15">
        <f>(1+_xlfn.XLOOKUP($D$71,$F$33:$H$33,$F$36:$H$36))^9</f>
        <v>1.0936852726843611</v>
      </c>
      <c r="G79" s="15">
        <f>(1+_xlfn.XLOOKUP($D$71,$F$33:$H$33,$F$39:$H$39))^9</f>
        <v>1.9990046271044331</v>
      </c>
      <c r="H79" s="30">
        <v>1</v>
      </c>
      <c r="I79" s="8">
        <f>H$14*F79*G79+G$14*H79</f>
        <v>349.80510731072184</v>
      </c>
      <c r="J79" s="15">
        <f>_xlfn.XLOOKUP($D$71,$F$33:$H$33,$F$42:$H$42)</f>
        <v>0.15</v>
      </c>
      <c r="K79" s="8">
        <f t="shared" si="8"/>
        <v>52.470766096608273</v>
      </c>
      <c r="L79" s="8">
        <f t="shared" si="10"/>
        <v>402.2758734073301</v>
      </c>
      <c r="M79" s="15">
        <f t="shared" si="9"/>
        <v>1</v>
      </c>
      <c r="N79" s="15">
        <f>_xlfn.XLOOKUP($D$71,$F$33:$H$33,$F$51:$H$51)</f>
        <v>0.3</v>
      </c>
      <c r="O79" s="8">
        <f t="shared" si="11"/>
        <v>365.54633713970429</v>
      </c>
      <c r="P79" s="4">
        <f t="shared" si="12"/>
        <v>0.3655463371397043</v>
      </c>
      <c r="R79" s="69">
        <f t="shared" si="13"/>
        <v>898.588104787465</v>
      </c>
    </row>
    <row r="80" spans="2:18">
      <c r="B80" s="1" t="s">
        <v>131</v>
      </c>
      <c r="C80" s="1" t="s">
        <v>164</v>
      </c>
      <c r="D80" s="2" t="s">
        <v>17</v>
      </c>
      <c r="E80" s="8">
        <f>F$15</f>
        <v>362.72</v>
      </c>
      <c r="F80" s="15">
        <f>(1+_xlfn.XLOOKUP($D$71,$F$33:$H$33,$F$35:$H$35))^9</f>
        <v>1.0936852726843611</v>
      </c>
      <c r="G80" s="15">
        <f>(1+_xlfn.XLOOKUP($D$71,$F$33:$H$33,$F$38:$H$38))^9</f>
        <v>2.3579476910000015</v>
      </c>
      <c r="H80" s="30">
        <v>1</v>
      </c>
      <c r="I80" s="8">
        <f>H$15*F80*G80+G$15*H80</f>
        <v>935.40143807091329</v>
      </c>
      <c r="J80" s="15">
        <f>_xlfn.XLOOKUP($D$71,$F$33:$H$33,$F$41:$H$41)</f>
        <v>0.25</v>
      </c>
      <c r="K80" s="8">
        <f t="shared" si="8"/>
        <v>233.85035951772832</v>
      </c>
      <c r="L80" s="8">
        <f t="shared" si="10"/>
        <v>1169.2517975886417</v>
      </c>
      <c r="M80" s="15">
        <f>_xlfn.XLOOKUP($D$71,$F$33:$H$33,$F$47:$H$47)</f>
        <v>0.35</v>
      </c>
      <c r="N80" s="15">
        <f>_xlfn.XLOOKUP($D$71,$F$33:$H$33,$F$50:$H$50)</f>
        <v>0.4</v>
      </c>
      <c r="O80" s="8">
        <f t="shared" si="11"/>
        <v>420.93064713191097</v>
      </c>
      <c r="P80" s="4">
        <f t="shared" si="12"/>
        <v>0.42093064713191097</v>
      </c>
    </row>
    <row r="81" spans="2:18">
      <c r="B81" s="1" t="s">
        <v>131</v>
      </c>
      <c r="C81" s="1" t="s">
        <v>164</v>
      </c>
      <c r="D81" s="2" t="s">
        <v>20</v>
      </c>
      <c r="E81" s="8">
        <f>F$16</f>
        <v>1677.6</v>
      </c>
      <c r="F81" s="15">
        <f>(1+_xlfn.XLOOKUP($D$71,$F$33:$H$33,$F$36:$H$36))^9</f>
        <v>1.0936852726843611</v>
      </c>
      <c r="G81" s="15">
        <f>(1+_xlfn.XLOOKUP($D$71,$F$33:$H$33,$F$39:$H$39))^9</f>
        <v>1.9990046271044331</v>
      </c>
      <c r="H81" s="30">
        <v>1</v>
      </c>
      <c r="I81" s="8">
        <f>H$16*F81*G81+G$16*H81</f>
        <v>3667.7065501529182</v>
      </c>
      <c r="J81" s="15">
        <f>_xlfn.XLOOKUP($D$71,$F$33:$H$33,$F$42:$H$42)</f>
        <v>0.15</v>
      </c>
      <c r="K81" s="8">
        <f t="shared" si="8"/>
        <v>550.15598252293773</v>
      </c>
      <c r="L81" s="8">
        <f t="shared" si="10"/>
        <v>4217.8625326758556</v>
      </c>
      <c r="M81" s="15">
        <f>_xlfn.XLOOKUP($D$71,$F$33:$H$33,$F$48:$H$48)</f>
        <v>0.2</v>
      </c>
      <c r="N81" s="15">
        <f>_xlfn.XLOOKUP($D$71,$F$33:$H$33,$F$51:$H$51)</f>
        <v>0.3</v>
      </c>
      <c r="O81" s="8">
        <f t="shared" si="11"/>
        <v>898.588104787465</v>
      </c>
      <c r="P81" s="4">
        <f t="shared" si="12"/>
        <v>0.89858810478746498</v>
      </c>
    </row>
    <row r="82" spans="2:18">
      <c r="D82" s="2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4"/>
    </row>
    <row r="83" spans="2:18">
      <c r="B83" s="1" t="s">
        <v>131</v>
      </c>
      <c r="D83" s="5" t="s">
        <v>103</v>
      </c>
      <c r="E83" s="16">
        <f>SUM(E74:E81)</f>
        <v>2470.3199999999997</v>
      </c>
      <c r="F83" s="16"/>
      <c r="G83" s="16"/>
      <c r="H83" s="16"/>
      <c r="I83" s="16">
        <f>SUM(I74:I81)</f>
        <v>5753.3876702859616</v>
      </c>
      <c r="J83" s="16"/>
      <c r="K83" s="16">
        <f>SUM(K74:K81)</f>
        <v>956.54829434998567</v>
      </c>
      <c r="L83" s="16">
        <f>SUM(L74:L81)</f>
        <v>6709.935964635948</v>
      </c>
      <c r="M83" s="16"/>
      <c r="N83" s="16"/>
      <c r="O83" s="16">
        <f>SUM(O74:O81)</f>
        <v>2557.5823755381161</v>
      </c>
      <c r="P83" s="16">
        <f>SUM(P74:P81)</f>
        <v>2.5575823755381157</v>
      </c>
    </row>
    <row r="84" spans="2:18">
      <c r="D84" s="35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</row>
    <row r="85" spans="2:18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2:18" ht="16.2" customHeight="1">
      <c r="C86" s="3" t="s">
        <v>132</v>
      </c>
      <c r="D86" s="68" t="s">
        <v>32</v>
      </c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</row>
    <row r="87" spans="2:18" ht="16.2" customHeight="1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</row>
    <row r="88" spans="2:18" ht="15.6" thickBot="1">
      <c r="D88" s="22" t="s">
        <v>5</v>
      </c>
      <c r="E88" s="22" t="s">
        <v>4</v>
      </c>
      <c r="F88" s="22" t="s">
        <v>119</v>
      </c>
      <c r="G88" s="22" t="s">
        <v>120</v>
      </c>
      <c r="H88" s="22" t="s">
        <v>121</v>
      </c>
      <c r="I88" s="22" t="s">
        <v>122</v>
      </c>
      <c r="J88" s="22" t="s">
        <v>123</v>
      </c>
      <c r="K88" s="22" t="s">
        <v>124</v>
      </c>
      <c r="L88" s="22" t="s">
        <v>125</v>
      </c>
      <c r="M88" s="22" t="s">
        <v>126</v>
      </c>
      <c r="N88" s="22" t="s">
        <v>127</v>
      </c>
      <c r="O88" s="22" t="s">
        <v>128</v>
      </c>
      <c r="P88" s="22" t="s">
        <v>129</v>
      </c>
    </row>
    <row r="89" spans="2:18">
      <c r="B89" s="1" t="s">
        <v>166</v>
      </c>
      <c r="C89" s="1" t="s">
        <v>165</v>
      </c>
      <c r="D89" s="2" t="s">
        <v>9</v>
      </c>
      <c r="E89" s="8">
        <f>F$9</f>
        <v>80</v>
      </c>
      <c r="F89" s="15">
        <f>(1+_xlfn.XLOOKUP($D$86,$F$33:$H$33,$F$34:$H$34))^9</f>
        <v>1.0936852726843611</v>
      </c>
      <c r="G89" s="15">
        <f>(1+_xlfn.XLOOKUP($D$86,$F$33:$H$33,$F$37:$H$37))^9</f>
        <v>2.3579476910000015</v>
      </c>
      <c r="H89" s="23">
        <f>('1_Inputs&amp;Hyp'!F59/'1_Inputs&amp;Hyp'!F57)*'1_Inputs&amp;Hyp'!F62</f>
        <v>5.3215144230769225</v>
      </c>
      <c r="I89" s="8">
        <f>H$9*F89*G89+G$9*H89</f>
        <v>374.04940629396862</v>
      </c>
      <c r="J89" s="15">
        <f>_xlfn.XLOOKUP($D$86,$F$33:$H$33,$F$40:$H$40)</f>
        <v>0.2</v>
      </c>
      <c r="K89" s="8">
        <f t="shared" ref="K89:K96" si="14">I89*J89</f>
        <v>74.809881258793723</v>
      </c>
      <c r="L89" s="8">
        <f>I89+K89</f>
        <v>448.85928755276234</v>
      </c>
      <c r="M89" s="15">
        <f t="shared" ref="M89:M94" si="15">_xlfn.XLOOKUP($D$86,$F$33:$H$33,$F$46:$H$46)</f>
        <v>1</v>
      </c>
      <c r="N89" s="15">
        <f>_xlfn.XLOOKUP($D$86,$F$33:$H$33,$F$49:$H$49)</f>
        <v>1</v>
      </c>
      <c r="O89" s="8">
        <f>I89*M89+K89*N89</f>
        <v>448.85928755276234</v>
      </c>
      <c r="P89" s="4">
        <f>O89/1000</f>
        <v>0.44885928755276233</v>
      </c>
      <c r="R89" s="69">
        <f>O89</f>
        <v>448.85928755276234</v>
      </c>
    </row>
    <row r="90" spans="2:18">
      <c r="B90" s="1" t="s">
        <v>166</v>
      </c>
      <c r="C90" s="1" t="s">
        <v>165</v>
      </c>
      <c r="D90" s="2" t="s">
        <v>153</v>
      </c>
      <c r="E90" s="8">
        <f>F$10</f>
        <v>20</v>
      </c>
      <c r="F90" s="37">
        <f>(1+_xlfn.XLOOKUP($D$86,$F$33:$H$33,$F$34:$H$34))^9</f>
        <v>1.0936852726843611</v>
      </c>
      <c r="G90" s="37">
        <f>(1+_xlfn.XLOOKUP($D$86,$F$33:$H$33,$F$37:$H$37))^9</f>
        <v>2.3579476910000015</v>
      </c>
      <c r="H90" s="30">
        <v>1</v>
      </c>
      <c r="I90" s="8">
        <f>H$10*F90*G90+G$10*H90</f>
        <v>51.577053268135927</v>
      </c>
      <c r="J90" s="37">
        <f>_xlfn.XLOOKUP($D$86,$F$33:$H$33,$F$40:$H$40)</f>
        <v>0.2</v>
      </c>
      <c r="K90" s="8">
        <f t="shared" si="14"/>
        <v>10.315410653627186</v>
      </c>
      <c r="L90" s="8">
        <f t="shared" ref="L90:L96" si="16">I90+K90</f>
        <v>61.89246392176311</v>
      </c>
      <c r="M90" s="37">
        <f t="shared" si="15"/>
        <v>1</v>
      </c>
      <c r="N90" s="37">
        <f>_xlfn.XLOOKUP($D$86,$F$33:$H$33,$F$49:$H$49)</f>
        <v>1</v>
      </c>
      <c r="O90" s="8">
        <f t="shared" ref="O90:O92" si="17">I90*M90+K90*N90</f>
        <v>61.89246392176311</v>
      </c>
      <c r="P90" s="4">
        <f t="shared" ref="P90:P96" si="18">O90/1000</f>
        <v>6.1892463921763112E-2</v>
      </c>
      <c r="R90" s="70">
        <f>O90+O91+O92</f>
        <v>387.17713973146061</v>
      </c>
    </row>
    <row r="91" spans="2:18">
      <c r="B91" s="1" t="s">
        <v>166</v>
      </c>
      <c r="C91" s="1" t="s">
        <v>165</v>
      </c>
      <c r="D91" s="2" t="s">
        <v>148</v>
      </c>
      <c r="E91" s="8">
        <f>F$11</f>
        <v>10</v>
      </c>
      <c r="F91" s="37">
        <f>(1+_xlfn.XLOOKUP($D$86,$F$33:$H$33,$F$34:$H$34))^9</f>
        <v>1.0936852726843611</v>
      </c>
      <c r="G91" s="37">
        <f>(1+_xlfn.XLOOKUP($D$86,$F$33:$H$33,$F$37:$H$37))^9</f>
        <v>2.3579476910000015</v>
      </c>
      <c r="H91" s="72">
        <f>(1+_xlfn.XLOOKUP(D86,'1_Inputs&amp;Hyp'!$F$72:$H$72,'1_Inputs&amp;Hyp'!$F$74:$H$74))^9</f>
        <v>7.4505805969238281</v>
      </c>
      <c r="I91" s="8">
        <f>H$11*F91*G91+G$11*H91</f>
        <v>64.762350102204223</v>
      </c>
      <c r="J91" s="37">
        <f>_xlfn.XLOOKUP($D$86,$F$33:$H$33,$F$40:$H$40)</f>
        <v>0.2</v>
      </c>
      <c r="K91" s="8">
        <f t="shared" si="14"/>
        <v>12.952470020440845</v>
      </c>
      <c r="L91" s="8">
        <f t="shared" si="16"/>
        <v>77.714820122645065</v>
      </c>
      <c r="M91" s="37">
        <f t="shared" si="15"/>
        <v>1</v>
      </c>
      <c r="N91" s="37">
        <f>_xlfn.XLOOKUP($D$86,$F$33:$H$33,$F$49:$H$49)</f>
        <v>1</v>
      </c>
      <c r="O91" s="8">
        <f t="shared" si="17"/>
        <v>77.714820122645065</v>
      </c>
      <c r="P91" s="4">
        <f t="shared" si="18"/>
        <v>7.7714820122645065E-2</v>
      </c>
      <c r="R91" s="69">
        <f>O93</f>
        <v>495.33891379199991</v>
      </c>
    </row>
    <row r="92" spans="2:18">
      <c r="B92" s="1" t="s">
        <v>166</v>
      </c>
      <c r="C92" s="1" t="s">
        <v>165</v>
      </c>
      <c r="D92" s="2" t="s">
        <v>14</v>
      </c>
      <c r="E92" s="8">
        <f>F$12</f>
        <v>80</v>
      </c>
      <c r="F92" s="15">
        <f>(1+_xlfn.XLOOKUP($D$86,$F$33:$H$33,$F$34:$H$34))^9</f>
        <v>1.0936852726843611</v>
      </c>
      <c r="G92" s="15">
        <f>(1+_xlfn.XLOOKUP($D$86,$F$33:$H$33,$F$37:$H$37))^9</f>
        <v>2.3579476910000015</v>
      </c>
      <c r="H92" s="30">
        <v>1</v>
      </c>
      <c r="I92" s="8">
        <f>H$12*F92*G92+G$12*H92</f>
        <v>206.30821307254371</v>
      </c>
      <c r="J92" s="15">
        <f>_xlfn.XLOOKUP($D$86,$F$33:$H$33,$F$40:$H$40)</f>
        <v>0.2</v>
      </c>
      <c r="K92" s="8">
        <f t="shared" si="14"/>
        <v>41.261642614508744</v>
      </c>
      <c r="L92" s="8">
        <f t="shared" si="16"/>
        <v>247.56985568705244</v>
      </c>
      <c r="M92" s="15">
        <f t="shared" si="15"/>
        <v>1</v>
      </c>
      <c r="N92" s="15">
        <f>_xlfn.XLOOKUP($D$86,$F$33:$H$33,$F$49:$H$49)</f>
        <v>1</v>
      </c>
      <c r="O92" s="8">
        <f t="shared" si="17"/>
        <v>247.56985568705244</v>
      </c>
      <c r="P92" s="4">
        <f t="shared" si="18"/>
        <v>0.24756985568705245</v>
      </c>
      <c r="R92" s="69">
        <f t="shared" ref="R92:R94" si="19">O94</f>
        <v>462.13039728249794</v>
      </c>
    </row>
    <row r="93" spans="2:18">
      <c r="B93" s="1" t="s">
        <v>166</v>
      </c>
      <c r="C93" s="1" t="s">
        <v>165</v>
      </c>
      <c r="D93" s="2" t="s">
        <v>15</v>
      </c>
      <c r="E93" s="8">
        <f>F$13</f>
        <v>80</v>
      </c>
      <c r="F93" s="37">
        <f>(1+_xlfn.XLOOKUP(D86,'1_Inputs&amp;Hyp'!$F$66:$H$66,'1_Inputs&amp;Hyp'!$F$67:$H$67))^9</f>
        <v>1.0936852726843611</v>
      </c>
      <c r="G93" s="37">
        <f>(1+_xlfn.XLOOKUP($D$86,$F$33:$H$33,$F$37:$H$37))^9</f>
        <v>2.3579476910000015</v>
      </c>
      <c r="H93" s="23">
        <f>(1+_xlfn.XLOOKUP(D86,'1_Inputs&amp;Hyp'!$F$66:$H$66,'1_Inputs&amp;Hyp'!$F$68:$H$68))^9</f>
        <v>5.1597803519999994</v>
      </c>
      <c r="I93" s="8">
        <f>H$13*F93*G93+G$13*H93</f>
        <v>412.78242815999994</v>
      </c>
      <c r="J93" s="15">
        <f>_xlfn.XLOOKUP($D$86,$F$33:$H$33,$F$40:$H$40)</f>
        <v>0.2</v>
      </c>
      <c r="K93" s="8">
        <f t="shared" si="14"/>
        <v>82.55648563199999</v>
      </c>
      <c r="L93" s="8">
        <f t="shared" si="16"/>
        <v>495.33891379199991</v>
      </c>
      <c r="M93" s="15">
        <f t="shared" si="15"/>
        <v>1</v>
      </c>
      <c r="N93" s="15">
        <f>_xlfn.XLOOKUP($D$86,$F$33:$H$33,$F$49:$H$49)</f>
        <v>1</v>
      </c>
      <c r="O93" s="8">
        <f>I93*M93+K93*N93</f>
        <v>495.33891379199991</v>
      </c>
      <c r="P93" s="4">
        <f>O93/1000</f>
        <v>0.4953389137919999</v>
      </c>
      <c r="R93" s="69">
        <f t="shared" si="19"/>
        <v>1116.4375036740244</v>
      </c>
    </row>
    <row r="94" spans="2:18">
      <c r="B94" s="1" t="s">
        <v>166</v>
      </c>
      <c r="C94" s="1" t="s">
        <v>164</v>
      </c>
      <c r="D94" s="2" t="s">
        <v>102</v>
      </c>
      <c r="E94" s="8">
        <f>F$14</f>
        <v>160</v>
      </c>
      <c r="F94" s="15">
        <f>(1+_xlfn.XLOOKUP($D$86,$F$33:$H$33,$F$36:$H$36))^9</f>
        <v>1.0936852726843611</v>
      </c>
      <c r="G94" s="15">
        <f>(1+_xlfn.XLOOKUP($D$86,$F$33:$H$33,$F$39:$H$39))^9</f>
        <v>2.3579476910000015</v>
      </c>
      <c r="H94" s="30">
        <v>1</v>
      </c>
      <c r="I94" s="8">
        <f>H$14*F94*G94+G$14*H94</f>
        <v>412.61642614508742</v>
      </c>
      <c r="J94" s="15">
        <f>_xlfn.XLOOKUP($D$86,$F$33:$H$33,$F$42:$H$42)</f>
        <v>0.2</v>
      </c>
      <c r="K94" s="8">
        <f t="shared" si="14"/>
        <v>82.523285229017489</v>
      </c>
      <c r="L94" s="8">
        <f t="shared" si="16"/>
        <v>495.13971137410488</v>
      </c>
      <c r="M94" s="15">
        <f t="shared" si="15"/>
        <v>1</v>
      </c>
      <c r="N94" s="15">
        <f>_xlfn.XLOOKUP($D$86,$F$33:$H$33,$F$51:$H$51)</f>
        <v>0.6</v>
      </c>
      <c r="O94" s="8">
        <f t="shared" ref="O94:O96" si="20">I94*M94+K94*N94</f>
        <v>462.13039728249794</v>
      </c>
      <c r="P94" s="4">
        <f t="shared" si="18"/>
        <v>0.46213039728249794</v>
      </c>
      <c r="R94" s="69">
        <f t="shared" si="19"/>
        <v>2033.3531172216833</v>
      </c>
    </row>
    <row r="95" spans="2:18">
      <c r="B95" s="1" t="s">
        <v>166</v>
      </c>
      <c r="C95" s="1" t="s">
        <v>164</v>
      </c>
      <c r="D95" s="2" t="s">
        <v>17</v>
      </c>
      <c r="E95" s="8">
        <f>F$15</f>
        <v>362.72</v>
      </c>
      <c r="F95" s="15">
        <f>(1+_xlfn.XLOOKUP($D$86,$F$33:$H$33,$F$35:$H$35))^9</f>
        <v>1.0936852726843611</v>
      </c>
      <c r="G95" s="15">
        <f>(1+_xlfn.XLOOKUP($D$86,$F$33:$H$33,$F$38:$H$38))^9</f>
        <v>3.5178762919199191</v>
      </c>
      <c r="H95" s="30">
        <v>1</v>
      </c>
      <c r="I95" s="8">
        <f>H$15*F95*G95+G$15*H95</f>
        <v>1395.5468795925303</v>
      </c>
      <c r="J95" s="15">
        <f>_xlfn.XLOOKUP($D$86,$F$33:$H$33,$F$41:$H$41)</f>
        <v>0.4</v>
      </c>
      <c r="K95" s="8">
        <f t="shared" si="14"/>
        <v>558.21875183701218</v>
      </c>
      <c r="L95" s="8">
        <f t="shared" si="16"/>
        <v>1953.7656314295425</v>
      </c>
      <c r="M95" s="15">
        <f>_xlfn.XLOOKUP($D$86,$F$33:$H$33,$F$47:$H$47)</f>
        <v>0.5</v>
      </c>
      <c r="N95" s="15">
        <f>_xlfn.XLOOKUP($D$86,$F$33:$H$33,$F$50:$H$50)</f>
        <v>0.75</v>
      </c>
      <c r="O95" s="8">
        <f>I95*M95+K95*N95</f>
        <v>1116.4375036740244</v>
      </c>
      <c r="P95" s="4">
        <f t="shared" si="18"/>
        <v>1.1164375036740244</v>
      </c>
    </row>
    <row r="96" spans="2:18">
      <c r="B96" s="1" t="s">
        <v>166</v>
      </c>
      <c r="C96" s="1" t="s">
        <v>164</v>
      </c>
      <c r="D96" s="2" t="s">
        <v>20</v>
      </c>
      <c r="E96" s="8">
        <f>F$16</f>
        <v>1677.6</v>
      </c>
      <c r="F96" s="15">
        <f>(1+_xlfn.XLOOKUP($D$86,$F$33:$H$33,$F$36:$H$36))^9</f>
        <v>1.0936852726843611</v>
      </c>
      <c r="G96" s="15">
        <f>(1+_xlfn.XLOOKUP($D$86,$F$33:$H$33,$F$39:$H$39))^9</f>
        <v>2.3579476910000015</v>
      </c>
      <c r="H96" s="30">
        <v>1</v>
      </c>
      <c r="I96" s="8">
        <f>H$16*F96*G96+G$16*H96</f>
        <v>4326.2832281312412</v>
      </c>
      <c r="J96" s="15">
        <f>_xlfn.XLOOKUP($D$86,$F$33:$H$33,$F$42:$H$42)</f>
        <v>0.2</v>
      </c>
      <c r="K96" s="8">
        <f t="shared" si="14"/>
        <v>865.25664562624831</v>
      </c>
      <c r="L96" s="8">
        <f t="shared" si="16"/>
        <v>5191.5398737574897</v>
      </c>
      <c r="M96" s="15">
        <f>_xlfn.XLOOKUP($D$86,$F$33:$H$33,$F$48:$H$48)</f>
        <v>0.35</v>
      </c>
      <c r="N96" s="15">
        <f>_xlfn.XLOOKUP($D$86,$F$33:$H$33,$F$51:$H$51)</f>
        <v>0.6</v>
      </c>
      <c r="O96" s="8">
        <f t="shared" si="20"/>
        <v>2033.3531172216833</v>
      </c>
      <c r="P96" s="4">
        <f t="shared" si="18"/>
        <v>2.0333531172216834</v>
      </c>
    </row>
    <row r="97" spans="2:16">
      <c r="D97" s="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4"/>
    </row>
    <row r="98" spans="2:16">
      <c r="B98" s="1" t="s">
        <v>166</v>
      </c>
      <c r="D98" s="5" t="s">
        <v>103</v>
      </c>
      <c r="E98" s="16">
        <f>SUM(E89:E96)</f>
        <v>2470.3199999999997</v>
      </c>
      <c r="F98" s="16"/>
      <c r="G98" s="16"/>
      <c r="H98" s="16"/>
      <c r="I98" s="16">
        <f>SUM(I89:I96)</f>
        <v>7243.9259847657113</v>
      </c>
      <c r="J98" s="16"/>
      <c r="K98" s="16">
        <f>SUM(K89:K96)</f>
        <v>1727.8945728716485</v>
      </c>
      <c r="L98" s="16">
        <f>SUM(L89:L96)</f>
        <v>8971.8205576373603</v>
      </c>
      <c r="M98" s="16"/>
      <c r="N98" s="16"/>
      <c r="O98" s="16">
        <f>SUM(O89:O96)</f>
        <v>4943.2963592544284</v>
      </c>
      <c r="P98" s="16">
        <f>SUM(P89:P96)</f>
        <v>4.943296359254429</v>
      </c>
    </row>
    <row r="99" spans="2:16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2:16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2:16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2:16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2:16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2:16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2:16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2:16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2:16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2:16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2:16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2:16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2:16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2:16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4:16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4:16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4:16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4:16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4:16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4:16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4:16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4:16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</sheetData>
  <mergeCells count="3">
    <mergeCell ref="D31:P31"/>
    <mergeCell ref="D6:P6"/>
    <mergeCell ref="D54:P54"/>
  </mergeCells>
  <pageMargins left="0.7" right="0.7" top="0.75" bottom="0.75" header="0.3" footer="0.3"/>
  <headerFooter>
    <oddHeader>&amp;L&amp;"Aptos"&amp;10&amp;K000000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98"/>
  <sheetViews>
    <sheetView zoomScale="85" zoomScaleNormal="85" workbookViewId="0">
      <selection activeCell="C9" sqref="C9"/>
    </sheetView>
  </sheetViews>
  <sheetFormatPr defaultColWidth="8.69921875" defaultRowHeight="15"/>
  <cols>
    <col min="1" max="1" width="8.69921875" style="1"/>
    <col min="2" max="2" width="40" style="1" bestFit="1" customWidth="1"/>
    <col min="3" max="5" width="16" style="1" customWidth="1"/>
    <col min="6" max="6" width="4" style="1" customWidth="1"/>
    <col min="7" max="14" width="14" style="1" customWidth="1"/>
    <col min="15" max="16384" width="8.69921875" style="1"/>
  </cols>
  <sheetData>
    <row r="1" spans="2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22.35" customHeight="1">
      <c r="B2" s="66" t="s">
        <v>133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2:14">
      <c r="B3" s="67" t="s">
        <v>134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2:1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ht="16.2" customHeight="1">
      <c r="B5" s="3" t="s">
        <v>135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16.2" customHeight="1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2:14" ht="15.6" thickBot="1">
      <c r="B7" s="22" t="s">
        <v>136</v>
      </c>
      <c r="C7" s="22" t="s">
        <v>137</v>
      </c>
      <c r="D7" s="22" t="s">
        <v>138</v>
      </c>
      <c r="E7" s="22" t="s">
        <v>139</v>
      </c>
      <c r="F7" s="2"/>
      <c r="G7" s="2"/>
      <c r="H7" s="2"/>
      <c r="I7" s="2"/>
      <c r="J7" s="2"/>
      <c r="K7" s="2"/>
      <c r="L7" s="2"/>
      <c r="M7" s="2"/>
      <c r="N7" s="2"/>
    </row>
    <row r="8" spans="2:14">
      <c r="B8" s="2" t="s">
        <v>140</v>
      </c>
      <c r="C8" s="4">
        <f>'2_Calculs'!$F$17/10^3</f>
        <v>2.4703199999999996</v>
      </c>
      <c r="D8" s="4">
        <f>'2_Calculs'!$F$17/10^3</f>
        <v>2.4703199999999996</v>
      </c>
      <c r="E8" s="4">
        <f>'2_Calculs'!$F$17/10^3</f>
        <v>2.4703199999999996</v>
      </c>
      <c r="F8" s="2"/>
      <c r="G8" s="2"/>
      <c r="H8" s="2"/>
      <c r="I8" s="2"/>
      <c r="J8" s="2"/>
      <c r="K8" s="2"/>
      <c r="L8" s="2"/>
      <c r="M8" s="2"/>
      <c r="N8" s="2"/>
    </row>
    <row r="9" spans="2:14">
      <c r="B9" s="2" t="s">
        <v>141</v>
      </c>
      <c r="C9" s="4">
        <f>'2_Calculs'!L68/10^3</f>
        <v>4.1281099077113517</v>
      </c>
      <c r="D9" s="4">
        <f>'2_Calculs'!L83/10^3</f>
        <v>6.7099359646359478</v>
      </c>
      <c r="E9" s="4">
        <f>'2_Calculs'!L98/10^3</f>
        <v>8.9718205576373595</v>
      </c>
      <c r="F9" s="2"/>
      <c r="G9" s="2"/>
      <c r="H9" s="2"/>
      <c r="I9" s="2"/>
      <c r="J9" s="2"/>
      <c r="K9" s="2"/>
      <c r="L9" s="2"/>
      <c r="M9" s="2"/>
      <c r="N9" s="2"/>
    </row>
    <row r="10" spans="2:14" ht="15.6" thickBot="1">
      <c r="B10" s="24" t="s">
        <v>142</v>
      </c>
      <c r="C10" s="34">
        <f>'2_Calculs'!P68</f>
        <v>1.2488726203714566</v>
      </c>
      <c r="D10" s="34">
        <f>'2_Calculs'!P83</f>
        <v>2.5575823755381157</v>
      </c>
      <c r="E10" s="34">
        <f>'2_Calculs'!P98</f>
        <v>4.943296359254429</v>
      </c>
      <c r="F10" s="2"/>
      <c r="G10" s="2"/>
      <c r="H10" s="2"/>
      <c r="I10" s="2"/>
      <c r="J10" s="2"/>
      <c r="K10" s="2"/>
      <c r="L10" s="2"/>
      <c r="M10" s="2"/>
      <c r="N10" s="2"/>
    </row>
    <row r="11" spans="2:14" ht="15.6" thickTop="1">
      <c r="B11" s="2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</row>
    <row r="12" spans="2:14">
      <c r="B12" s="31" t="s">
        <v>143</v>
      </c>
      <c r="C12" s="33">
        <f>C10/C9</f>
        <v>0.30252891717794378</v>
      </c>
      <c r="D12" s="33">
        <f t="shared" ref="D12:E12" si="0">D10/D9</f>
        <v>0.38116345506389332</v>
      </c>
      <c r="E12" s="33">
        <f t="shared" si="0"/>
        <v>0.55098029742095034</v>
      </c>
      <c r="F12" s="2"/>
      <c r="G12" s="2"/>
      <c r="H12" s="2"/>
      <c r="I12" s="2"/>
      <c r="J12" s="2"/>
      <c r="K12" s="2"/>
      <c r="L12" s="2"/>
      <c r="M12" s="2"/>
      <c r="N12" s="2"/>
    </row>
    <row r="13" spans="2:14">
      <c r="B13" s="31" t="s">
        <v>144</v>
      </c>
      <c r="C13" s="32">
        <f>C9/C8</f>
        <v>1.6710830611869525</v>
      </c>
      <c r="D13" s="32">
        <f t="shared" ref="D13:E13" si="1">D9/D8</f>
        <v>2.7162213659104686</v>
      </c>
      <c r="E13" s="32">
        <f t="shared" si="1"/>
        <v>3.6318454927448109</v>
      </c>
      <c r="F13" s="2"/>
      <c r="G13" s="2"/>
      <c r="H13" s="2"/>
      <c r="I13" s="2"/>
      <c r="J13" s="2"/>
      <c r="K13" s="2"/>
      <c r="L13" s="2"/>
      <c r="M13" s="2"/>
      <c r="N13" s="2"/>
    </row>
    <row r="14" spans="2: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ht="16.2" customHeight="1">
      <c r="B16" s="101" t="s">
        <v>145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</row>
    <row r="17" spans="2:14" ht="16.2" customHeight="1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2:14" ht="15.6" thickBot="1">
      <c r="B18" s="22" t="s">
        <v>5</v>
      </c>
      <c r="C18" s="22" t="s">
        <v>137</v>
      </c>
      <c r="D18" s="22" t="s">
        <v>138</v>
      </c>
      <c r="E18" s="22" t="s">
        <v>139</v>
      </c>
      <c r="F18" s="2"/>
      <c r="G18" s="2"/>
      <c r="H18" s="2"/>
      <c r="I18" s="2"/>
      <c r="J18" s="2"/>
      <c r="K18" s="2"/>
      <c r="L18" s="2"/>
      <c r="M18" s="2"/>
      <c r="N18" s="2"/>
    </row>
    <row r="19" spans="2:14">
      <c r="B19" s="2" t="s">
        <v>9</v>
      </c>
      <c r="C19" s="4">
        <f>'2_Calculs'!P59</f>
        <v>0.35995367737869866</v>
      </c>
      <c r="D19" s="4">
        <f>'2_Calculs'!P74</f>
        <v>0.39965217711633205</v>
      </c>
      <c r="E19" s="4">
        <f>'2_Calculs'!P89</f>
        <v>0.44885928755276233</v>
      </c>
      <c r="F19" s="2"/>
      <c r="G19" s="2"/>
      <c r="H19" s="2"/>
      <c r="I19" s="2"/>
      <c r="J19" s="2"/>
      <c r="K19" s="2"/>
      <c r="L19" s="2"/>
      <c r="M19" s="2"/>
      <c r="N19" s="2"/>
    </row>
    <row r="20" spans="2:14">
      <c r="B20" s="2" t="s">
        <v>153</v>
      </c>
      <c r="C20" s="4">
        <f>'2_Calculs'!P60</f>
        <v>2.7975859565211779E-2</v>
      </c>
      <c r="D20" s="4">
        <f>'2_Calculs'!P75</f>
        <v>4.7660945871085852E-2</v>
      </c>
      <c r="E20" s="4">
        <f>'2_Calculs'!P90</f>
        <v>6.1892463921763112E-2</v>
      </c>
      <c r="F20" s="2"/>
      <c r="G20" s="2"/>
      <c r="H20" s="2"/>
      <c r="I20" s="2"/>
      <c r="J20" s="2"/>
      <c r="K20" s="2"/>
      <c r="L20" s="2"/>
      <c r="M20" s="2"/>
      <c r="N20" s="2"/>
    </row>
    <row r="21" spans="2:14">
      <c r="B21" s="2" t="s">
        <v>148</v>
      </c>
      <c r="C21" s="4">
        <f>'2_Calculs'!P61</f>
        <v>1.8518942988847351E-2</v>
      </c>
      <c r="D21" s="4">
        <f>'2_Calculs'!P76</f>
        <v>2.8947341352074229E-2</v>
      </c>
      <c r="E21" s="4">
        <f>'2_Calculs'!P91</f>
        <v>7.7714820122645065E-2</v>
      </c>
      <c r="F21" s="2"/>
      <c r="G21" s="2"/>
      <c r="H21" s="2"/>
      <c r="I21" s="2"/>
      <c r="J21" s="2"/>
      <c r="K21" s="2"/>
      <c r="L21" s="2"/>
      <c r="M21" s="2"/>
      <c r="N21" s="2"/>
    </row>
    <row r="22" spans="2:14">
      <c r="B22" s="2" t="s">
        <v>14</v>
      </c>
      <c r="C22" s="4">
        <f>'2_Calculs'!P62</f>
        <v>0.11190343826084712</v>
      </c>
      <c r="D22" s="4">
        <f>'2_Calculs'!P77</f>
        <v>0.19064378348434341</v>
      </c>
      <c r="E22" s="4">
        <f>'2_Calculs'!P92</f>
        <v>0.24756985568705245</v>
      </c>
      <c r="F22" s="2"/>
      <c r="G22" s="2"/>
      <c r="H22" s="2"/>
      <c r="I22" s="2"/>
      <c r="J22" s="2"/>
      <c r="K22" s="2"/>
      <c r="L22" s="2"/>
      <c r="M22" s="2"/>
      <c r="N22" s="2"/>
    </row>
    <row r="23" spans="2:14">
      <c r="B23" s="2" t="s">
        <v>15</v>
      </c>
      <c r="C23" s="4">
        <f>'2_Calculs'!P63</f>
        <v>0.12720891371023829</v>
      </c>
      <c r="D23" s="4">
        <f>'2_Calculs'!P78</f>
        <v>0.20561303865520011</v>
      </c>
      <c r="E23" s="4">
        <f>'2_Calculs'!P93</f>
        <v>0.4953389137919999</v>
      </c>
      <c r="F23" s="2"/>
      <c r="G23" s="2"/>
      <c r="H23" s="2"/>
      <c r="I23" s="2"/>
      <c r="J23" s="2"/>
      <c r="K23" s="2"/>
      <c r="L23" s="2"/>
      <c r="M23" s="2"/>
      <c r="N23" s="2"/>
    </row>
    <row r="24" spans="2:14">
      <c r="B24" s="2" t="s">
        <v>102</v>
      </c>
      <c r="C24" s="4">
        <f>'2_Calculs'!P64</f>
        <v>0.22053165393844992</v>
      </c>
      <c r="D24" s="4">
        <f>'2_Calculs'!P79</f>
        <v>0.3655463371397043</v>
      </c>
      <c r="E24" s="4">
        <f>'2_Calculs'!P94</f>
        <v>0.46213039728249794</v>
      </c>
      <c r="F24" s="2"/>
      <c r="G24" s="2"/>
      <c r="H24" s="2"/>
      <c r="I24" s="2"/>
      <c r="J24" s="2"/>
      <c r="K24" s="2"/>
      <c r="L24" s="2"/>
      <c r="M24" s="2"/>
      <c r="N24" s="2"/>
    </row>
    <row r="25" spans="2:14">
      <c r="B25" s="2" t="s">
        <v>17</v>
      </c>
      <c r="C25" s="4">
        <f>'2_Calculs'!P65</f>
        <v>0.13094827010350887</v>
      </c>
      <c r="D25" s="4">
        <f>'2_Calculs'!P80</f>
        <v>0.42093064713191097</v>
      </c>
      <c r="E25" s="4">
        <f>'2_Calculs'!P95</f>
        <v>1.1164375036740244</v>
      </c>
      <c r="F25" s="2"/>
      <c r="G25" s="2"/>
      <c r="H25" s="2"/>
      <c r="I25" s="2"/>
      <c r="J25" s="2"/>
      <c r="K25" s="2"/>
      <c r="L25" s="2"/>
      <c r="M25" s="2"/>
      <c r="N25" s="2"/>
    </row>
    <row r="26" spans="2:14">
      <c r="B26" s="2" t="s">
        <v>20</v>
      </c>
      <c r="C26" s="4">
        <f>'2_Calculs'!P66</f>
        <v>0.25183186442565469</v>
      </c>
      <c r="D26" s="4">
        <f>'2_Calculs'!P81</f>
        <v>0.89858810478746498</v>
      </c>
      <c r="E26" s="4">
        <f>'2_Calculs'!P96</f>
        <v>2.0333531172216834</v>
      </c>
      <c r="F26" s="2"/>
      <c r="G26" s="2"/>
      <c r="H26" s="2"/>
      <c r="I26" s="2"/>
      <c r="J26" s="2"/>
      <c r="K26" s="2"/>
      <c r="L26" s="2"/>
      <c r="M26" s="2"/>
      <c r="N26" s="2"/>
    </row>
    <row r="27" spans="2:14">
      <c r="B27" s="5" t="s">
        <v>103</v>
      </c>
      <c r="C27" s="6">
        <f>SUM(C19:C26)</f>
        <v>1.2488726203714566</v>
      </c>
      <c r="D27" s="6">
        <f>SUM(D19:D26)</f>
        <v>2.5575823755381157</v>
      </c>
      <c r="E27" s="6">
        <f>SUM(E19:E26)</f>
        <v>4.943296359254429</v>
      </c>
      <c r="F27" s="2"/>
      <c r="G27" s="2"/>
      <c r="H27" s="2"/>
      <c r="I27" s="2"/>
      <c r="J27" s="2"/>
      <c r="K27" s="2"/>
      <c r="L27" s="2"/>
      <c r="M27" s="2"/>
      <c r="N27" s="2"/>
    </row>
    <row r="28" spans="2:14">
      <c r="B28" s="38" t="s">
        <v>146</v>
      </c>
      <c r="C28" s="38" t="b">
        <f>C27=C10</f>
        <v>1</v>
      </c>
      <c r="D28" s="38" t="b">
        <f t="shared" ref="D28:E28" si="2">D27=D10</f>
        <v>1</v>
      </c>
      <c r="E28" s="38" t="b">
        <f t="shared" si="2"/>
        <v>1</v>
      </c>
      <c r="F28" s="2"/>
      <c r="G28" s="2"/>
      <c r="H28" s="2"/>
      <c r="I28" s="2"/>
      <c r="J28" s="2"/>
      <c r="K28" s="2"/>
      <c r="L28" s="2"/>
      <c r="M28" s="2"/>
      <c r="N28" s="2"/>
    </row>
    <row r="29" spans="2:1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14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14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>
      <c r="B32" s="2"/>
      <c r="C32" s="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4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4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4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2:1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2:1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2:14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2:14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2:14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2:14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2:14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2:14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2:14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2:1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2:14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2:14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2:14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2:14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2:14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2:14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2:14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2:14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2:1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2:14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2:14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2:14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2:14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</sheetData>
  <mergeCells count="1">
    <mergeCell ref="B16:N16"/>
  </mergeCells>
  <pageMargins left="0.7" right="0.7" top="0.75" bottom="0.75" header="0.3" footer="0.3"/>
  <headerFooter>
    <oddHeader>&amp;L&amp;"Aptos"&amp;10&amp;K000000 INTERNAL&amp;1#_x000D_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c8e751d2-3d37-4167-80fa-a7ac4017bd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A066FCD1E3F438488297A6C42CAF9" ma:contentTypeVersion="4" ma:contentTypeDescription="Create a new document." ma:contentTypeScope="" ma:versionID="4ae0ce287ee18dd46314e40e6b0c436f">
  <xsd:schema xmlns:xsd="http://www.w3.org/2001/XMLSchema" xmlns:xs="http://www.w3.org/2001/XMLSchema" xmlns:p="http://schemas.microsoft.com/office/2006/metadata/properties" xmlns:ns2="c8e751d2-3d37-4167-80fa-a7ac4017bdce" targetNamespace="http://schemas.microsoft.com/office/2006/metadata/properties" ma:root="true" ma:fieldsID="3192de281dd5cec62b6f582edbf76bcb" ns2:_="">
    <xsd:import namespace="c8e751d2-3d37-4167-80fa-a7ac4017b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751d2-3d37-4167-80fa-a7ac4017b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11" nillable="true" ma:displayName="Translated Language" ma:internalName="TranslatedLang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44C341-AD09-48CF-A9D3-1481B5BEA8A2}">
  <ds:schemaRefs>
    <ds:schemaRef ds:uri="http://schemas.microsoft.com/office/2006/metadata/properties"/>
    <ds:schemaRef ds:uri="http://schemas.microsoft.com/office/infopath/2007/PartnerControls"/>
    <ds:schemaRef ds:uri="c8e751d2-3d37-4167-80fa-a7ac4017bdce"/>
  </ds:schemaRefs>
</ds:datastoreItem>
</file>

<file path=customXml/itemProps2.xml><?xml version="1.0" encoding="utf-8"?>
<ds:datastoreItem xmlns:ds="http://schemas.openxmlformats.org/officeDocument/2006/customXml" ds:itemID="{D5EFFB68-C21E-4BD7-B2CB-20E039E408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B76CD7-AEB7-447C-BD86-9BCCA38C00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751d2-3d37-4167-80fa-a7ac4017b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0_Sliding</vt:lpstr>
      <vt:lpstr>1_Inputs&amp;Hyp</vt:lpstr>
      <vt:lpstr>2_Calculs</vt:lpstr>
      <vt:lpstr>3_Output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Leveilley, Victoire</dc:creator>
  <cp:keywords/>
  <dc:description/>
  <cp:lastModifiedBy>Thivard, Theo</cp:lastModifiedBy>
  <cp:revision/>
  <dcterms:created xsi:type="dcterms:W3CDTF">2026-09-29T11:24:40Z</dcterms:created>
  <dcterms:modified xsi:type="dcterms:W3CDTF">2026-10-08T07:20:40Z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2f35fa-8165-4243-b308-eaa898c7c3bd_Enabled">
    <vt:lpwstr>true</vt:lpwstr>
  </property>
  <property fmtid="{D5CDD505-2E9C-101B-9397-08002B2CF9AE}" pid="3" name="MSIP_Label_252f35fa-8165-4243-b308-eaa898c7c3bd_SetDate">
    <vt:lpwstr>2026-09-29T11:24:40Z</vt:lpwstr>
  </property>
  <property fmtid="{D5CDD505-2E9C-101B-9397-08002B2CF9AE}" pid="4" name="MSIP_Label_252f35fa-8165-4243-b308-eaa898c7c3bd_Method">
    <vt:lpwstr>Privileged</vt:lpwstr>
  </property>
  <property fmtid="{D5CDD505-2E9C-101B-9397-08002B2CF9AE}" pid="5" name="MSIP_Label_252f35fa-8165-4243-b308-eaa898c7c3bd_Name">
    <vt:lpwstr>Internal</vt:lpwstr>
  </property>
  <property fmtid="{D5CDD505-2E9C-101B-9397-08002B2CF9AE}" pid="6" name="MSIP_Label_252f35fa-8165-4243-b308-eaa898c7c3bd_SiteId">
    <vt:lpwstr>720ebb82-481f-4a53-b7ca-9a6c71a0e24b</vt:lpwstr>
  </property>
  <property fmtid="{D5CDD505-2E9C-101B-9397-08002B2CF9AE}" pid="7" name="MSIP_Label_252f35fa-8165-4243-b308-eaa898c7c3bd_ActionId">
    <vt:lpwstr>c8bd5b02-2ace-4df9-b63a-12afeee6b4a7</vt:lpwstr>
  </property>
  <property fmtid="{D5CDD505-2E9C-101B-9397-08002B2CF9AE}" pid="8" name="MSIP_Label_252f35fa-8165-4243-b308-eaa898c7c3bd_ContentBits">
    <vt:lpwstr>1</vt:lpwstr>
  </property>
  <property fmtid="{D5CDD505-2E9C-101B-9397-08002B2CF9AE}" pid="9" name="MSIP_Label_252f35fa-8165-4243-b308-eaa898c7c3bd_Tag">
    <vt:lpwstr>10, 0, 1, 1</vt:lpwstr>
  </property>
  <property fmtid="{D5CDD505-2E9C-101B-9397-08002B2CF9AE}" pid="10" name="ContentTypeId">
    <vt:lpwstr>0x010100E67A066FCD1E3F438488297A6C42CAF9</vt:lpwstr>
  </property>
</Properties>
</file>