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48" yWindow="-17388" windowWidth="41496" windowHeight="16776" tabRatio="600" firstSheet="0" activeTab="3" autoFilterDateGrouping="1"/>
  </bookViews>
  <sheets>
    <sheet name="Cover" sheetId="1" state="visible" r:id="rId1"/>
    <sheet name="1_Inputs&amp;Hyp" sheetId="2" state="visible" r:id="rId2"/>
    <sheet name="2_Calculs" sheetId="3" state="visible" r:id="rId3"/>
    <sheet name="3_Output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#,##0.0;[Red]\(#,##0.0\);\-"/>
    <numFmt numFmtId="166" formatCode="#,##0;[Red]\(#,##0\);\-"/>
    <numFmt numFmtId="167" formatCode="0.0%;[Red]\(0.0%\);\-"/>
    <numFmt numFmtId="168" formatCode="#,##0.0"/>
    <numFmt numFmtId="169" formatCode="0.0\x"/>
    <numFmt numFmtId="170" formatCode="0.00\x"/>
    <numFmt numFmtId="171" formatCode="#,##0.0;[Red]#,##0.0"/>
  </numFmts>
  <fonts count="27">
    <font>
      <name val="Carlito"/>
      <sz val="11"/>
    </font>
    <font>
      <name val="Calibri"/>
      <family val="2"/>
      <color theme="1"/>
      <sz val="11"/>
      <scheme val="minor"/>
    </font>
    <font>
      <name val="Carlito"/>
      <sz val="11"/>
    </font>
    <font>
      <name val="RB Office"/>
      <sz val="11"/>
    </font>
    <font>
      <name val="RB Office"/>
      <sz val="10"/>
    </font>
    <font>
      <name val="RB Office"/>
      <b val="1"/>
      <color rgb="FFFFFFFF"/>
      <sz val="10"/>
    </font>
    <font>
      <name val="RB Office"/>
      <i val="1"/>
      <color rgb="FF666666"/>
      <sz val="10"/>
    </font>
    <font>
      <name val="RB Office"/>
      <b val="1"/>
      <sz val="10"/>
    </font>
    <font>
      <name val="RB Office"/>
      <color rgb="FF008000"/>
      <sz val="10"/>
    </font>
    <font>
      <name val="RB Office"/>
      <color rgb="FF0000FF"/>
      <sz val="10"/>
    </font>
    <font>
      <name val="RB Office"/>
      <color rgb="FF7030A0"/>
      <sz val="10"/>
    </font>
    <font>
      <name val="RB Office"/>
      <color rgb="FF000000"/>
      <sz val="10"/>
    </font>
    <font>
      <name val="RB Office"/>
      <color rgb="FF0070C0"/>
      <sz val="10"/>
    </font>
    <font>
      <name val="RB Office"/>
      <i val="1"/>
      <sz val="10"/>
    </font>
    <font>
      <name val="RB Office"/>
      <i val="1"/>
      <color theme="1" tint="0.499984740745262"/>
      <sz val="10"/>
    </font>
    <font>
      <name val="Calibri"/>
      <family val="2"/>
      <sz val="11"/>
    </font>
    <font>
      <name val="Calibri Light"/>
      <family val="2"/>
      <sz val="27"/>
      <scheme val="major"/>
    </font>
    <font>
      <name val="Arial Narrow"/>
      <family val="2"/>
      <color theme="3"/>
      <sz val="21"/>
    </font>
    <font>
      <name val="RB Office"/>
      <color theme="1"/>
      <sz val="11"/>
    </font>
    <font>
      <name val="RB Office"/>
      <sz val="36"/>
    </font>
    <font>
      <name val="RB Office"/>
      <sz val="27"/>
    </font>
    <font>
      <name val="RB Office"/>
      <color theme="3"/>
      <sz val="21"/>
    </font>
    <font>
      <name val="RB Office"/>
      <color theme="1"/>
      <sz val="10"/>
    </font>
    <font>
      <name val="RB Office"/>
      <color theme="1"/>
      <sz val="40"/>
    </font>
    <font>
      <name val="RB Office"/>
      <b val="1"/>
      <sz val="18"/>
    </font>
    <font>
      <name val="RB Office"/>
      <color theme="1"/>
      <sz val="12"/>
    </font>
    <font>
      <name val="Carlito"/>
      <color theme="10"/>
      <sz val="11"/>
      <u val="single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7365D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2" fillId="0" borderId="1"/>
    <xf numFmtId="9" fontId="2" fillId="0" borderId="1"/>
    <xf numFmtId="0" fontId="1" fillId="0" borderId="1"/>
    <xf numFmtId="0" fontId="1" fillId="0" borderId="1"/>
    <xf numFmtId="0" fontId="15" fillId="0" borderId="1"/>
    <xf numFmtId="49" fontId="16" fillId="0" borderId="1" applyAlignment="1">
      <alignment horizontal="left" vertical="top"/>
    </xf>
    <xf numFmtId="0" fontId="17" fillId="0" borderId="1" applyAlignment="1">
      <alignment horizontal="left" vertical="top"/>
    </xf>
    <xf numFmtId="0" fontId="26" fillId="0" borderId="1"/>
  </cellStyleXfs>
  <cellXfs count="9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2" fontId="4" fillId="0" borderId="0" pivotButton="0" quotePrefix="0" xfId="0"/>
    <xf numFmtId="0" fontId="7" fillId="0" borderId="2" pivotButton="0" quotePrefix="0" xfId="0"/>
    <xf numFmtId="2" fontId="7" fillId="0" borderId="2" pivotButton="0" quotePrefix="0" xfId="0"/>
    <xf numFmtId="164" fontId="8" fillId="0" borderId="0" pivotButton="0" quotePrefix="0" xfId="0"/>
    <xf numFmtId="165" fontId="4" fillId="0" borderId="0" pivotButton="0" quotePrefix="0" xfId="0"/>
    <xf numFmtId="165" fontId="9" fillId="0" borderId="0" pivotButton="0" quotePrefix="0" xfId="0"/>
    <xf numFmtId="166" fontId="9" fillId="0" borderId="0" pivotButton="0" quotePrefix="0" xfId="0"/>
    <xf numFmtId="167" fontId="10" fillId="4" borderId="0" pivotButton="0" quotePrefix="0" xfId="0"/>
    <xf numFmtId="0" fontId="9" fillId="0" borderId="0" pivotButton="0" quotePrefix="0" xfId="0"/>
    <xf numFmtId="0" fontId="11" fillId="0" borderId="0" pivotButton="0" quotePrefix="0" xfId="0"/>
    <xf numFmtId="3" fontId="4" fillId="0" borderId="0" pivotButton="0" quotePrefix="0" xfId="0"/>
    <xf numFmtId="9" fontId="4" fillId="0" borderId="0" pivotButton="0" quotePrefix="0" xfId="1"/>
    <xf numFmtId="168" fontId="7" fillId="0" borderId="2" pivotButton="0" quotePrefix="0" xfId="0"/>
    <xf numFmtId="1" fontId="8" fillId="0" borderId="0" pivotButton="0" quotePrefix="0" xfId="1"/>
    <xf numFmtId="3" fontId="4" fillId="0" borderId="3" pivotButton="0" quotePrefix="0" xfId="0"/>
    <xf numFmtId="0" fontId="5" fillId="0" borderId="0" pivotButton="0" quotePrefix="0" xfId="0"/>
    <xf numFmtId="0" fontId="3" fillId="0" borderId="3" pivotButton="0" quotePrefix="0" xfId="0"/>
    <xf numFmtId="3" fontId="7" fillId="0" borderId="0" pivotButton="0" quotePrefix="0" xfId="0"/>
    <xf numFmtId="3" fontId="7" fillId="0" borderId="4" pivotButton="0" quotePrefix="0" xfId="0"/>
    <xf numFmtId="169" fontId="4" fillId="0" borderId="0" pivotButton="0" quotePrefix="0" xfId="0"/>
    <xf numFmtId="0" fontId="4" fillId="0" borderId="3" pivotButton="0" quotePrefix="0" xfId="0"/>
    <xf numFmtId="165" fontId="9" fillId="0" borderId="3" pivotButton="0" quotePrefix="0" xfId="0"/>
    <xf numFmtId="166" fontId="9" fillId="0" borderId="3" pivotButton="0" quotePrefix="0" xfId="0"/>
    <xf numFmtId="167" fontId="10" fillId="4" borderId="3" pivotButton="0" quotePrefix="0" xfId="0"/>
    <xf numFmtId="170" fontId="10" fillId="4" borderId="3" pivotButton="0" quotePrefix="0" xfId="0"/>
    <xf numFmtId="0" fontId="9" fillId="0" borderId="3" pivotButton="0" quotePrefix="0" xfId="0"/>
    <xf numFmtId="169" fontId="4" fillId="5" borderId="0" pivotButton="0" quotePrefix="0" xfId="0"/>
    <xf numFmtId="169" fontId="12" fillId="0" borderId="0" pivotButton="0" quotePrefix="0" xfId="0"/>
    <xf numFmtId="0" fontId="13" fillId="0" borderId="0" pivotButton="0" quotePrefix="0" xfId="0"/>
    <xf numFmtId="170" fontId="13" fillId="0" borderId="0" pivotButton="0" quotePrefix="0" xfId="0"/>
    <xf numFmtId="164" fontId="13" fillId="0" borderId="0" pivotButton="0" quotePrefix="0" xfId="0"/>
    <xf numFmtId="2" fontId="4" fillId="0" borderId="3" pivotButton="0" quotePrefix="0" xfId="0"/>
    <xf numFmtId="0" fontId="7" fillId="0" borderId="1" pivotButton="0" quotePrefix="0" xfId="0"/>
    <xf numFmtId="168" fontId="7" fillId="0" borderId="1" pivotButton="0" quotePrefix="0" xfId="0"/>
    <xf numFmtId="9" fontId="4" fillId="0" borderId="0" pivotButton="0" quotePrefix="0" xfId="1"/>
    <xf numFmtId="0" fontId="14" fillId="0" borderId="0" pivotButton="0" quotePrefix="0" xfId="0"/>
    <xf numFmtId="0" fontId="18" fillId="0" borderId="1" pivotButton="0" quotePrefix="0" xfId="2"/>
    <xf numFmtId="0" fontId="18" fillId="0" borderId="1" pivotButton="0" quotePrefix="0" xfId="3"/>
    <xf numFmtId="0" fontId="3" fillId="0" borderId="1" pivotButton="0" quotePrefix="0" xfId="4"/>
    <xf numFmtId="0" fontId="3" fillId="0" borderId="1" pivotButton="0" quotePrefix="0" xfId="2"/>
    <xf numFmtId="49" fontId="19" fillId="0" borderId="1" applyAlignment="1" pivotButton="0" quotePrefix="0" xfId="5">
      <alignment horizontal="left" vertical="top"/>
    </xf>
    <xf numFmtId="49" fontId="20" fillId="0" borderId="1" applyAlignment="1" pivotButton="0" quotePrefix="0" xfId="5">
      <alignment horizontal="left"/>
    </xf>
    <xf numFmtId="0" fontId="21" fillId="0" borderId="1" applyAlignment="1" pivotButton="0" quotePrefix="0" xfId="6">
      <alignment horizontal="left"/>
    </xf>
    <xf numFmtId="0" fontId="21" fillId="0" borderId="1" applyAlignment="1" pivotButton="0" quotePrefix="0" xfId="6">
      <alignment horizontal="left" vertical="top"/>
    </xf>
    <xf numFmtId="0" fontId="18" fillId="0" borderId="5" pivotButton="0" quotePrefix="0" xfId="2"/>
    <xf numFmtId="0" fontId="18" fillId="0" borderId="5" pivotButton="0" quotePrefix="0" xfId="3"/>
    <xf numFmtId="0" fontId="3" fillId="6" borderId="1" pivotButton="0" quotePrefix="0" xfId="4"/>
    <xf numFmtId="0" fontId="3" fillId="6" borderId="6" pivotButton="0" quotePrefix="0" xfId="4"/>
    <xf numFmtId="0" fontId="18" fillId="7" borderId="1" pivotButton="0" quotePrefix="0" xfId="2"/>
    <xf numFmtId="3" fontId="8" fillId="0" borderId="0" pivotButton="0" quotePrefix="0" xfId="0"/>
    <xf numFmtId="3" fontId="8" fillId="0" borderId="3" pivotButton="0" quotePrefix="0" xfId="0"/>
    <xf numFmtId="3" fontId="9" fillId="0" borderId="0" pivotButton="0" quotePrefix="0" xfId="0"/>
    <xf numFmtId="3" fontId="9" fillId="0" borderId="3" pivotButton="0" quotePrefix="0" xfId="0"/>
    <xf numFmtId="0" fontId="22" fillId="7" borderId="0" applyAlignment="1" pivotButton="0" quotePrefix="0" xfId="0">
      <alignment vertical="top"/>
    </xf>
    <xf numFmtId="0" fontId="22" fillId="7" borderId="0" applyAlignment="1" pivotButton="0" quotePrefix="0" xfId="0">
      <alignment horizontal="right" vertical="top"/>
    </xf>
    <xf numFmtId="0" fontId="23" fillId="7" borderId="0" applyAlignment="1" pivotButton="0" quotePrefix="0" xfId="0">
      <alignment vertical="top"/>
    </xf>
    <xf numFmtId="0" fontId="24" fillId="7" borderId="1" applyAlignment="1" pivotButton="0" quotePrefix="0" xfId="6">
      <alignment horizontal="left" vertical="top"/>
    </xf>
    <xf numFmtId="0" fontId="25" fillId="7" borderId="0" applyAlignment="1" pivotButton="0" quotePrefix="0" xfId="0">
      <alignment horizontal="right" vertical="top"/>
    </xf>
    <xf numFmtId="0" fontId="25" fillId="7" borderId="0" applyAlignment="1" pivotButton="0" quotePrefix="0" xfId="0">
      <alignment vertical="top"/>
    </xf>
    <xf numFmtId="0" fontId="23" fillId="7" borderId="5" applyAlignment="1" pivotButton="0" quotePrefix="0" xfId="0">
      <alignment vertical="top"/>
    </xf>
    <xf numFmtId="0" fontId="25" fillId="7" borderId="5" applyAlignment="1" pivotButton="0" quotePrefix="0" xfId="0">
      <alignment horizontal="right" vertical="top"/>
    </xf>
    <xf numFmtId="0" fontId="25" fillId="7" borderId="5" applyAlignment="1" pivotButton="0" quotePrefix="0" xfId="0">
      <alignment vertical="top"/>
    </xf>
    <xf numFmtId="0" fontId="22" fillId="7" borderId="5" applyAlignment="1" pivotButton="0" quotePrefix="0" xfId="0">
      <alignment vertical="top"/>
    </xf>
    <xf numFmtId="0" fontId="26" fillId="0" borderId="3" pivotButton="0" quotePrefix="0" xfId="7"/>
    <xf numFmtId="0" fontId="5" fillId="2" borderId="0" pivotButton="0" quotePrefix="0" xfId="0"/>
    <xf numFmtId="0" fontId="6" fillId="0" borderId="0" pivotButton="0" quotePrefix="0" xfId="0"/>
    <xf numFmtId="0" fontId="5" fillId="8" borderId="0" pivotButton="0" quotePrefix="0" xfId="0"/>
    <xf numFmtId="165" fontId="3" fillId="0" borderId="0" pivotButton="0" quotePrefix="0" xfId="0"/>
    <xf numFmtId="171" fontId="3" fillId="0" borderId="0" pivotButton="0" quotePrefix="0" xfId="0"/>
    <xf numFmtId="165" fontId="10" fillId="5" borderId="0" pivotButton="0" quotePrefix="0" xfId="0"/>
    <xf numFmtId="0" fontId="5" fillId="3" borderId="0" pivotButton="0" quotePrefix="0" xfId="0"/>
    <xf numFmtId="165" fontId="9" fillId="0" borderId="0" pivotButton="0" quotePrefix="0" xfId="0"/>
    <xf numFmtId="165" fontId="9" fillId="0" borderId="3" pivotButton="0" quotePrefix="0" xfId="0"/>
    <xf numFmtId="166" fontId="9" fillId="0" borderId="0" pivotButton="0" quotePrefix="0" xfId="0"/>
    <xf numFmtId="166" fontId="9" fillId="0" borderId="3" pivotButton="0" quotePrefix="0" xfId="0"/>
    <xf numFmtId="167" fontId="10" fillId="4" borderId="0" pivotButton="0" quotePrefix="0" xfId="0"/>
    <xf numFmtId="165" fontId="10" fillId="5" borderId="0" pivotButton="0" quotePrefix="0" xfId="0"/>
    <xf numFmtId="167" fontId="10" fillId="4" borderId="3" pivotButton="0" quotePrefix="0" xfId="0"/>
    <xf numFmtId="170" fontId="10" fillId="4" borderId="3" pivotButton="0" quotePrefix="0" xfId="0"/>
    <xf numFmtId="0" fontId="5" fillId="3" borderId="1" pivotButton="0" quotePrefix="0" xfId="0"/>
    <xf numFmtId="164" fontId="8" fillId="0" borderId="0" pivotButton="0" quotePrefix="0" xfId="0"/>
    <xf numFmtId="165" fontId="4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12" fillId="0" borderId="0" pivotButton="0" quotePrefix="0" xfId="0"/>
    <xf numFmtId="171" fontId="3" fillId="0" borderId="0" pivotButton="0" quotePrefix="0" xfId="0"/>
    <xf numFmtId="168" fontId="7" fillId="0" borderId="2" pivotButton="0" quotePrefix="0" xfId="0"/>
    <xf numFmtId="169" fontId="4" fillId="5" borderId="0" pivotButton="0" quotePrefix="0" xfId="0"/>
    <xf numFmtId="168" fontId="7" fillId="0" borderId="1" pivotButton="0" quotePrefix="0" xfId="0"/>
    <xf numFmtId="164" fontId="13" fillId="0" borderId="0" pivotButton="0" quotePrefix="0" xfId="0"/>
    <xf numFmtId="170" fontId="13" fillId="0" borderId="0" pivotButton="0" quotePrefix="0" xfId="0"/>
  </cellXfs>
  <cellStyles count="8">
    <cellStyle name="Normal" xfId="0" builtinId="0"/>
    <cellStyle name="Percent" xfId="1" builtinId="5"/>
    <cellStyle name="Normal 24" xfId="2"/>
    <cellStyle name="Normal 7" xfId="3"/>
    <cellStyle name="Normal 11" xfId="4"/>
    <cellStyle name="Action Title" xfId="5"/>
    <cellStyle name="Subtitle" xfId="6"/>
    <cellStyle name="Hyperlink" xfId="7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Demande adressable à Monaco en 2035 (MW IT)</a:t>
            </a:r>
          </a:p>
        </rich>
      </tx>
      <overlay val="1"/>
    </title>
    <plotArea>
      <layout/>
      <barChart>
        <barDir val="col"/>
        <grouping val="clustered"/>
        <varyColors val="0"/>
        <ser>
          <idx val="0"/>
          <order val="0"/>
          <tx>
            <strRef>
              <f>'3_Output'!$C$18</f>
              <strCache>
                <ptCount val="1"/>
                <pt idx="0">
                  <v>Bas</v>
                </pt>
              </strCache>
            </strRef>
          </tx>
          <spPr>
            <a:ln>
              <a:prstDash val="solid"/>
            </a:ln>
          </spPr>
          <invertIfNegative val="1"/>
          <dLbls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'3_Output'!$B$19:$B$25</f>
              <strCache>
                <ptCount val="7"/>
                <pt idx="0">
                  <v>DSP</v>
                </pt>
                <pt idx="1">
                  <v>DENJS + APDP + DITN</v>
                </pt>
                <pt idx="2">
                  <v>CHPG</v>
                </pt>
                <pt idx="3">
                  <v>Monaco Telecom</v>
                </pt>
                <pt idx="4">
                  <v>Finance</v>
                </pt>
                <pt idx="5">
                  <v>Privé hors finance</v>
                </pt>
                <pt idx="6">
                  <v>TOTAL</v>
                </pt>
              </strCache>
            </strRef>
          </cat>
          <val>
            <numRef>
              <f>'3_Output'!$C$19:$C$25</f>
              <numCache>
                <formatCode>0.00</formatCode>
                <ptCount val="7"/>
                <pt idx="0">
                  <v>0.3523291081845818</v>
                </pt>
                <pt idx="1">
                  <v>0.121003122573009</v>
                </pt>
                <pt idx="2">
                  <v>0.1256575854942598</v>
                </pt>
                <pt idx="3">
                  <v>0.1921708850344676</v>
                </pt>
                <pt idx="4">
                  <v>0.1017524757862869</v>
                </pt>
                <pt idx="5">
                  <v>0.2105131657776828</v>
                </pt>
                <pt idx="6">
                  <v>1.103426342850288</v>
                </pt>
              </numCache>
            </numRef>
          </val>
        </ser>
        <ser>
          <idx val="1"/>
          <order val="1"/>
          <tx>
            <strRef>
              <f>'3_Output'!$D$18</f>
              <strCache>
                <ptCount val="1"/>
                <pt idx="0">
                  <v>Central</v>
                </pt>
              </strCache>
            </strRef>
          </tx>
          <spPr>
            <a:ln>
              <a:prstDash val="solid"/>
            </a:ln>
          </spPr>
          <invertIfNegative val="1"/>
          <dLbls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'3_Output'!$B$19:$B$25</f>
              <strCache>
                <ptCount val="7"/>
                <pt idx="0">
                  <v>DSP</v>
                </pt>
                <pt idx="1">
                  <v>DENJS + APDP + DITN</v>
                </pt>
                <pt idx="2">
                  <v>CHPG</v>
                </pt>
                <pt idx="3">
                  <v>Monaco Telecom</v>
                </pt>
                <pt idx="4">
                  <v>Finance</v>
                </pt>
                <pt idx="5">
                  <v>Privé hors finance</v>
                </pt>
                <pt idx="6">
                  <v>TOTAL</v>
                </pt>
              </strCache>
            </strRef>
          </cat>
          <val>
            <numRef>
              <f>'3_Output'!$D$19:$D$25</f>
              <numCache>
                <formatCode>0.00</formatCode>
                <ptCount val="7"/>
                <pt idx="0">
                  <v>0.3853260283724618</v>
                </pt>
                <pt idx="1">
                  <v>0.1622636001416805</v>
                </pt>
                <pt idx="2">
                  <v>0.2056130386552001</v>
                </pt>
                <pt idx="3">
                  <v>0.2489034306760457</v>
                </pt>
                <pt idx="4">
                  <v>0.2648391979621528</v>
                </pt>
                <pt idx="5">
                  <v>0.6118558423984622</v>
                </pt>
                <pt idx="6">
                  <v>1.878801138206003</v>
                </pt>
              </numCache>
            </numRef>
          </val>
        </ser>
        <ser>
          <idx val="2"/>
          <order val="2"/>
          <tx>
            <strRef>
              <f>'3_Output'!$E$18</f>
              <strCache>
                <ptCount val="1"/>
                <pt idx="0">
                  <v>Haut</v>
                </pt>
              </strCache>
            </strRef>
          </tx>
          <spPr>
            <a:ln>
              <a:prstDash val="solid"/>
            </a:ln>
          </spPr>
          <invertIfNegative val="1"/>
          <dLbls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'3_Output'!$B$19:$B$25</f>
              <strCache>
                <ptCount val="7"/>
                <pt idx="0">
                  <v>DSP</v>
                </pt>
                <pt idx="1">
                  <v>DENJS + APDP + DITN</v>
                </pt>
                <pt idx="2">
                  <v>CHPG</v>
                </pt>
                <pt idx="3">
                  <v>Monaco Telecom</v>
                </pt>
                <pt idx="4">
                  <v>Finance</v>
                </pt>
                <pt idx="5">
                  <v>Privé hors finance</v>
                </pt>
                <pt idx="6">
                  <v>TOTAL</v>
                </pt>
              </strCache>
            </strRef>
          </cat>
          <val>
            <numRef>
              <f>'3_Output'!$E$19:$E$25</f>
              <numCache>
                <formatCode>0.00</formatCode>
                <ptCount val="7"/>
                <pt idx="0">
                  <v>0.4683582639552503</v>
                </pt>
                <pt idx="1">
                  <v>0.2402085732762756</v>
                </pt>
                <pt idx="2">
                  <v>0.5366171566079999</v>
                </pt>
                <pt idx="3">
                  <v>0.348856758727391</v>
                </pt>
                <pt idx="4">
                  <v>0.610805138116821</v>
                </pt>
                <pt idx="5">
                  <v>1.642893602615295</v>
                </pt>
                <pt idx="6">
                  <v>3.847739493299033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125178</colOff>
      <row>6</row>
      <rowOff>15440</rowOff>
    </from>
    <to>
      <col>18</col>
      <colOff>190499</colOff>
      <row>25</row>
      <rowOff>15440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RB_Teal">
      <a:dk1>
        <a:srgbClr val="000000"/>
      </a:dk1>
      <a:lt1>
        <a:srgbClr val="FFFFFF"/>
      </a:lt1>
      <a:dk2>
        <a:srgbClr val="787878"/>
      </a:dk2>
      <a:lt2>
        <a:srgbClr val="C8C8C8"/>
      </a:lt2>
      <a:accent1>
        <a:srgbClr val="C8FFFA"/>
      </a:accent1>
      <a:accent2>
        <a:srgbClr val="81FFF4"/>
      </a:accent2>
      <a:accent3>
        <a:srgbClr val="00D4C4"/>
      </a:accent3>
      <a:accent4>
        <a:srgbClr val="008080"/>
      </a:accent4>
      <a:accent5>
        <a:srgbClr val="003B46"/>
      </a:accent5>
      <a:accent6>
        <a:srgbClr val="001E2F"/>
      </a:accent6>
      <a:hlink>
        <a:srgbClr val="787878"/>
      </a:hlink>
      <a:folHlink>
        <a:srgbClr val="78787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xis.com/en-be/products/axis-surveillance-card-256-gb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AR9"/>
  <sheetViews>
    <sheetView showGridLines="0" zoomScale="85" zoomScaleNormal="85" workbookViewId="0">
      <selection activeCell="F20" sqref="F20"/>
    </sheetView>
  </sheetViews>
  <sheetFormatPr baseColWidth="8" defaultColWidth="8" defaultRowHeight="15"/>
  <cols>
    <col width="1.5" customWidth="1" style="52" min="1" max="1"/>
    <col width="3.19921875" customWidth="1" style="52" min="2" max="3"/>
    <col width="27.3984375" customWidth="1" style="52" min="4" max="4"/>
    <col width="8" customWidth="1" style="52" min="5" max="5"/>
    <col width="46.69921875" bestFit="1" customWidth="1" style="52" min="6" max="6"/>
    <col width="8" customWidth="1" style="52" min="7" max="16384"/>
  </cols>
  <sheetData>
    <row r="1" ht="13.95" customFormat="1" customHeight="1" s="42">
      <c r="A1" s="40" t="n"/>
      <c r="B1" s="40" t="n"/>
      <c r="C1" s="40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</row>
    <row r="2" ht="13.95" customFormat="1" customHeight="1" s="42">
      <c r="A2" s="40" t="n"/>
      <c r="B2" s="40" t="n"/>
      <c r="C2" s="40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</row>
    <row r="3" ht="13.95" customFormat="1" customHeight="1" s="42">
      <c r="A3" s="40" t="n"/>
      <c r="B3" s="40" t="n"/>
      <c r="C3" s="40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</row>
    <row r="4" ht="48.6" customFormat="1" customHeight="1" s="42">
      <c r="A4" s="40" t="n"/>
      <c r="B4" s="43" t="n"/>
      <c r="C4" s="43" t="n"/>
      <c r="D4" s="44" t="inlineStr">
        <is>
          <t>Schéma directeur / Plan stratégique à 10 ans cloud et datacenters</t>
        </is>
      </c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</row>
    <row r="5" ht="45.6" customFormat="1" customHeight="1" s="42">
      <c r="A5" s="40" t="n"/>
      <c r="B5" s="40" t="n"/>
      <c r="C5" s="40" t="n"/>
      <c r="D5" s="45" t="inlineStr">
        <is>
          <t>Modélisation de la demande IT Horizon 2035</t>
        </is>
      </c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</row>
    <row r="6" ht="31.35" customFormat="1" customHeight="1" s="42">
      <c r="A6" s="40" t="n"/>
      <c r="B6" s="40" t="n"/>
      <c r="C6" s="40" t="n"/>
      <c r="D6" s="46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</row>
    <row r="7" ht="28.2" customFormat="1" customHeight="1" s="42">
      <c r="A7" s="40" t="n"/>
      <c r="B7" s="40" t="n"/>
      <c r="C7" s="40" t="n"/>
      <c r="D7" s="47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</row>
    <row r="8" ht="13.95" customFormat="1" customHeight="1" s="42">
      <c r="A8" s="48" t="n"/>
      <c r="B8" s="48" t="n"/>
      <c r="C8" s="48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  <c r="AA8" s="49" t="n"/>
      <c r="AB8" s="49" t="n"/>
      <c r="AC8" s="49" t="n"/>
      <c r="AD8" s="49" t="n"/>
      <c r="AE8" s="49" t="n"/>
      <c r="AF8" s="49" t="n"/>
      <c r="AG8" s="49" t="n"/>
      <c r="AH8" s="49" t="n"/>
      <c r="AI8" s="49" t="n"/>
      <c r="AJ8" s="49" t="n"/>
      <c r="AK8" s="49" t="n"/>
      <c r="AL8" s="49" t="n"/>
      <c r="AM8" s="49" t="n"/>
      <c r="AN8" s="41" t="n"/>
      <c r="AO8" s="41" t="n"/>
      <c r="AP8" s="41" t="n"/>
      <c r="AQ8" s="41" t="n"/>
      <c r="AR8" s="41" t="n"/>
    </row>
    <row r="9" ht="13.95" customFormat="1" customHeight="1" s="51">
      <c r="A9" s="50" t="n"/>
      <c r="B9" s="50" t="n"/>
      <c r="C9" s="50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50" t="n"/>
      <c r="AI9" s="50" t="n"/>
      <c r="AJ9" s="50" t="n"/>
      <c r="AK9" s="50" t="n"/>
      <c r="AL9" s="50" t="n"/>
      <c r="AM9" s="50" t="n"/>
    </row>
  </sheetData>
  <pageMargins left="0.7" right="0.7" top="0.75" bottom="0.75" header="0.3" footer="0.3"/>
  <pageSetup orientation="portrait" paperSize="9"/>
  <headerFooter>
    <oddHeader>&amp;L&amp;"Aptos"&amp;1 &amp;K000000 INTERNAL#_x000d_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114"/>
  <sheetViews>
    <sheetView topLeftCell="A26" zoomScale="85" zoomScaleNormal="85" workbookViewId="0">
      <selection activeCell="J50" sqref="J50"/>
    </sheetView>
  </sheetViews>
  <sheetFormatPr baseColWidth="8" defaultColWidth="8.69921875" defaultRowHeight="15"/>
  <cols>
    <col width="3.8984375" customWidth="1" style="1" min="1" max="2"/>
    <col width="3.19921875" customWidth="1" style="1" min="3" max="3"/>
    <col width="56.8984375" bestFit="1" customWidth="1" style="1" min="4" max="4"/>
    <col width="26.8984375" customWidth="1" style="1" min="5" max="5"/>
    <col width="20.19921875" customWidth="1" style="1" min="6" max="6"/>
    <col width="25.59765625" customWidth="1" style="1" min="7" max="7"/>
    <col width="18" customWidth="1" style="1" min="8" max="8"/>
    <col width="28" customWidth="1" style="1" min="9" max="9"/>
    <col width="16" customWidth="1" style="1" min="10" max="13"/>
    <col width="8.69921875" customWidth="1" style="1" min="14" max="16384"/>
  </cols>
  <sheetData>
    <row r="1" ht="10.2" customFormat="1" customHeight="1" s="57">
      <c r="D1" s="58" t="n"/>
      <c r="E1" s="58" t="n"/>
      <c r="F1" s="58" t="n"/>
      <c r="G1" s="58" t="n"/>
      <c r="H1" s="58" t="n"/>
      <c r="J1" s="58" t="n"/>
      <c r="K1" s="58" t="n"/>
      <c r="L1" s="58" t="n"/>
      <c r="M1" s="58" t="n"/>
      <c r="N1" s="58" t="n"/>
      <c r="O1" s="58" t="n"/>
    </row>
    <row r="2" ht="34.2" customFormat="1" customHeight="1" s="57">
      <c r="B2" s="60" t="inlineStr">
        <is>
          <t>Inputs &amp; Hypothèses</t>
        </is>
      </c>
      <c r="C2" s="59" t="n"/>
      <c r="E2" s="60" t="n"/>
      <c r="F2" s="61" t="n"/>
      <c r="G2" s="61" t="n"/>
      <c r="H2" s="61" t="n"/>
      <c r="I2" s="62" t="n"/>
      <c r="J2" s="61" t="n"/>
      <c r="K2" s="61" t="n"/>
      <c r="L2" s="61" t="n"/>
      <c r="M2" s="61" t="n"/>
      <c r="N2" s="61" t="n"/>
      <c r="O2" s="61" t="n"/>
    </row>
    <row r="3" ht="15.6" customFormat="1" customHeight="1" s="57">
      <c r="C3" s="59" t="n"/>
      <c r="D3" s="60" t="n"/>
      <c r="E3" s="60" t="n"/>
      <c r="F3" s="61" t="n"/>
      <c r="G3" s="61" t="n"/>
      <c r="H3" s="61" t="n"/>
      <c r="I3" s="62" t="n"/>
      <c r="J3" s="61" t="n"/>
      <c r="K3" s="61" t="n"/>
      <c r="L3" s="61" t="n"/>
      <c r="M3" s="61" t="n"/>
      <c r="N3" s="61" t="n"/>
      <c r="O3" s="61" t="n"/>
    </row>
    <row r="4" ht="15" customFormat="1" customHeight="1" s="66">
      <c r="C4" s="63" t="n"/>
      <c r="D4" s="64" t="n"/>
      <c r="E4" s="64" t="n"/>
      <c r="F4" s="64" t="n"/>
      <c r="G4" s="64" t="n"/>
      <c r="H4" s="64" t="n"/>
      <c r="I4" s="65" t="n"/>
      <c r="J4" s="64" t="n"/>
      <c r="K4" s="64" t="n"/>
      <c r="L4" s="64" t="n"/>
      <c r="M4" s="64" t="n"/>
      <c r="N4" s="64" t="n"/>
      <c r="O4" s="64" t="n"/>
    </row>
    <row r="5"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 ht="16.2" customHeight="1">
      <c r="B6" s="74" t="inlineStr">
        <is>
          <t>A.</t>
        </is>
      </c>
      <c r="D6" s="74" t="inlineStr">
        <is>
          <t>Baseline 2026</t>
        </is>
      </c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2" t="n"/>
      <c r="O6" s="2" t="n"/>
      <c r="P6" s="2" t="n"/>
    </row>
    <row r="7" ht="16.2" customHeight="1"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2" t="n"/>
      <c r="O7" s="2" t="n"/>
      <c r="P7" s="2" t="n"/>
    </row>
    <row r="8" ht="15.6" customHeight="1" thickBot="1">
      <c r="D8" s="22" t="inlineStr">
        <is>
          <t>Bloc</t>
        </is>
      </c>
      <c r="E8" s="22" t="inlineStr">
        <is>
          <t>Unité</t>
        </is>
      </c>
      <c r="F8" s="22" t="inlineStr">
        <is>
          <t>Baseline IT 2026</t>
        </is>
      </c>
      <c r="G8" s="22" t="inlineStr">
        <is>
          <t>Source / commentaire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D9" s="2" t="inlineStr">
        <is>
          <t>DSP</t>
        </is>
      </c>
      <c r="E9" s="1" t="inlineStr">
        <is>
          <t>kW</t>
        </is>
      </c>
      <c r="F9" s="75" t="n">
        <v>80</v>
      </c>
      <c r="G9" s="2" t="inlineStr">
        <is>
          <t>Hypothèse RB sur la base des entretiens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D10" s="2" t="inlineStr">
        <is>
          <t>DENJS</t>
        </is>
      </c>
      <c r="E10" s="1" t="inlineStr">
        <is>
          <t>kW</t>
        </is>
      </c>
      <c r="F10" s="75" t="n">
        <v>10</v>
      </c>
      <c r="G10" s="2" t="inlineStr">
        <is>
          <t>Hypothèse RB sur la base des entretiens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D11" s="2" t="inlineStr">
        <is>
          <t>APDP</t>
        </is>
      </c>
      <c r="E11" s="1" t="inlineStr">
        <is>
          <t>kW</t>
        </is>
      </c>
      <c r="F11" s="75" t="n">
        <v>10</v>
      </c>
      <c r="G11" s="2" t="inlineStr">
        <is>
          <t>Hypothèse RB sur la base des entretiens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D12" s="2" t="inlineStr">
        <is>
          <t>DITN</t>
        </is>
      </c>
      <c r="E12" s="1" t="inlineStr">
        <is>
          <t>kW</t>
        </is>
      </c>
      <c r="F12" s="75" t="n">
        <v>80</v>
      </c>
      <c r="G12" s="2" t="inlineStr">
        <is>
          <t>Hypothèse RB sur la base des entretiens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D13" s="2" t="inlineStr">
        <is>
          <t>CHPG</t>
        </is>
      </c>
      <c r="E13" s="1" t="inlineStr">
        <is>
          <t>kW</t>
        </is>
      </c>
      <c r="F13" s="75" t="n">
        <v>80</v>
      </c>
      <c r="G13" s="2" t="inlineStr">
        <is>
          <t>Hypothèse RB sur la base des entretiens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D14" s="2" t="inlineStr">
        <is>
          <t>Monaco Telecom – besoins propres</t>
        </is>
      </c>
      <c r="E14" s="1" t="inlineStr">
        <is>
          <t>kW</t>
        </is>
      </c>
      <c r="F14" s="75">
        <f>F25*10%</f>
        <v/>
      </c>
      <c r="G14" s="2" t="inlineStr">
        <is>
          <t>Hypothèse RB sur la base des entretiens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D15" s="2" t="inlineStr">
        <is>
          <t>Finance</t>
        </is>
      </c>
      <c r="E15" s="1" t="inlineStr">
        <is>
          <t>kW</t>
        </is>
      </c>
      <c r="F15" s="75" t="inlineStr">
        <is>
          <t>voir onglet calcul</t>
        </is>
      </c>
      <c r="G15" s="2" t="inlineStr">
        <is>
          <t>à calculer à partir du modèle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 ht="15.6" customHeight="1" thickBot="1">
      <c r="D16" s="24" t="inlineStr">
        <is>
          <t>Privé hors finance</t>
        </is>
      </c>
      <c r="E16" s="20" t="inlineStr">
        <is>
          <t>kW</t>
        </is>
      </c>
      <c r="F16" s="76" t="inlineStr">
        <is>
          <t>voir onglet calcul</t>
        </is>
      </c>
      <c r="G16" s="24" t="inlineStr">
        <is>
          <t>à calculer à partir du modèle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 ht="15.6" customHeight="1" thickTop="1">
      <c r="D17" s="2" t="n"/>
      <c r="E17" s="14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 ht="15.6" customHeight="1" thickBot="1">
      <c r="D19" s="22" t="inlineStr">
        <is>
          <t>Bloc</t>
        </is>
      </c>
      <c r="E19" s="22" t="inlineStr">
        <is>
          <t>Unité</t>
        </is>
      </c>
      <c r="F19" s="22" t="inlineStr">
        <is>
          <t>Driver / volume 2026</t>
        </is>
      </c>
      <c r="G19" s="22" t="inlineStr">
        <is>
          <t>Source / commentaire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D20" s="2" t="inlineStr">
        <is>
          <t>DSP</t>
        </is>
      </c>
      <c r="E20" s="2" t="inlineStr">
        <is>
          <t>agents</t>
        </is>
      </c>
      <c r="F20" s="77" t="n">
        <v>628</v>
      </c>
      <c r="G20" s="2" t="inlineStr">
        <is>
          <t>Hypothèse RB sur la base des entretiens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D21" s="2" t="inlineStr">
        <is>
          <t>DENJS</t>
        </is>
      </c>
      <c r="E21" s="1" t="inlineStr">
        <is>
          <t>kW</t>
        </is>
      </c>
      <c r="F21" s="77" t="n"/>
      <c r="G21" s="2" t="inlineStr">
        <is>
          <t>Hypothèse RB sur la base des entretiens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D22" s="2" t="inlineStr">
        <is>
          <t>APDP</t>
        </is>
      </c>
      <c r="E22" s="1" t="inlineStr">
        <is>
          <t>kW</t>
        </is>
      </c>
      <c r="F22" s="77" t="n"/>
      <c r="G22" s="2" t="inlineStr">
        <is>
          <t>Hypothèse RB sur la base des entretiens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D23" s="2" t="inlineStr">
        <is>
          <t>DITN</t>
        </is>
      </c>
      <c r="E23" s="1" t="inlineStr">
        <is>
          <t>kW</t>
        </is>
      </c>
      <c r="F23" s="77" t="n"/>
      <c r="G23" s="2" t="inlineStr">
        <is>
          <t>Hypothèse RB sur la base des entretiens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D24" s="2" t="inlineStr">
        <is>
          <t>CHPG</t>
        </is>
      </c>
      <c r="E24" s="1" t="inlineStr">
        <is>
          <t>kW</t>
        </is>
      </c>
      <c r="F24" s="77" t="n"/>
      <c r="G24" s="2" t="inlineStr">
        <is>
          <t>Hypothèse RB sur la base des entretiens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D25" s="2" t="inlineStr">
        <is>
          <t>Monaco Telecom – besoins propres</t>
        </is>
      </c>
      <c r="E25" s="2" t="inlineStr">
        <is>
          <t>kW capacité commerciale</t>
        </is>
      </c>
      <c r="F25" s="77" t="n">
        <v>1600</v>
      </c>
      <c r="G25" s="2" t="inlineStr">
        <is>
          <t>Hypothèse RB sur la base des entretiens (10% de la capa commerciale installée)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D26" s="2" t="inlineStr">
        <is>
          <t>Finance</t>
        </is>
      </c>
      <c r="E26" s="2" t="inlineStr">
        <is>
          <t>salariés</t>
        </is>
      </c>
      <c r="F26" s="77" t="n">
        <v>5000</v>
      </c>
      <c r="G26" s="2" t="inlineStr">
        <is>
          <t>60 454 salariés privés – 4 534 finance (IMSEE, 2024)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</row>
    <row r="27" ht="15.6" customHeight="1" thickBot="1">
      <c r="D27" s="24" t="inlineStr">
        <is>
          <t>Privé hors finance</t>
        </is>
      </c>
      <c r="E27" s="24" t="inlineStr">
        <is>
          <t>salariés</t>
        </is>
      </c>
      <c r="F27" s="78" t="n">
        <v>55920</v>
      </c>
      <c r="G27" s="24" t="inlineStr">
        <is>
          <t>60 454 salariés privés – 4 534 finance (IMSEE, 2024)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</row>
    <row r="28" ht="15.6" customHeight="1" thickTop="1"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 ht="16.2" customHeight="1">
      <c r="B31" s="74" t="inlineStr">
        <is>
          <t>B.</t>
        </is>
      </c>
      <c r="D31" s="74" t="inlineStr">
        <is>
          <t>Hypothèses hors DSP, CHPG</t>
        </is>
      </c>
      <c r="E31" s="74" t="n"/>
      <c r="F31" s="74" t="n"/>
      <c r="G31" s="74" t="n"/>
      <c r="H31" s="74" t="n"/>
      <c r="I31" s="74" t="n"/>
      <c r="J31" s="74" t="n"/>
      <c r="K31" s="74" t="n"/>
      <c r="L31" s="74" t="n"/>
      <c r="M31" s="74" t="n"/>
      <c r="N31" s="2" t="n"/>
      <c r="O31" s="2" t="n"/>
      <c r="P31" s="2" t="n"/>
    </row>
    <row r="32" ht="16.2" customHeight="1"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2" t="n"/>
      <c r="O32" s="2" t="n"/>
      <c r="P32" s="2" t="n"/>
    </row>
    <row r="33" ht="15.6" customHeight="1" thickBot="1">
      <c r="D33" s="22" t="inlineStr">
        <is>
          <t>Hypothèse</t>
        </is>
      </c>
      <c r="E33" s="22" t="inlineStr">
        <is>
          <t>Unité</t>
        </is>
      </c>
      <c r="F33" s="22" t="inlineStr">
        <is>
          <t>Scénario Bas</t>
        </is>
      </c>
      <c r="G33" s="22" t="inlineStr">
        <is>
          <t>Scénario Central</t>
        </is>
      </c>
      <c r="H33" s="22" t="inlineStr">
        <is>
          <t>Scénario Haut</t>
        </is>
      </c>
      <c r="I33" s="22" t="inlineStr">
        <is>
          <t>Source / rationnel</t>
        </is>
      </c>
      <c r="J33" s="2" t="n"/>
      <c r="K33" s="2" t="n"/>
      <c r="L33" s="2" t="n"/>
      <c r="M33" s="2" t="n"/>
      <c r="N33" s="2" t="n"/>
      <c r="O33" s="2" t="n"/>
      <c r="P33" s="2" t="n"/>
    </row>
    <row r="34">
      <c r="D34" s="2" t="inlineStr">
        <is>
          <t>Croissance annuelle effectifs publics</t>
        </is>
      </c>
      <c r="E34" s="2" t="inlineStr">
        <is>
          <t>% p.a.</t>
        </is>
      </c>
      <c r="F34" s="79" t="n">
        <v>0</v>
      </c>
      <c r="G34" s="79" t="n">
        <v>0.005</v>
      </c>
      <c r="H34" s="79" t="n">
        <v>0.01</v>
      </c>
      <c r="I34" s="2" t="inlineStr">
        <is>
          <t>Hypothèse de travail</t>
        </is>
      </c>
      <c r="J34" s="2" t="n"/>
      <c r="K34" s="2" t="n"/>
      <c r="L34" s="2" t="n"/>
      <c r="M34" s="2" t="n"/>
      <c r="N34" s="2" t="n"/>
      <c r="O34" s="2" t="n"/>
      <c r="P34" s="2" t="n"/>
    </row>
    <row r="35">
      <c r="D35" s="2" t="inlineStr">
        <is>
          <t>Croissance annuelle effectifs finance</t>
        </is>
      </c>
      <c r="E35" s="2" t="inlineStr">
        <is>
          <t>% p.a.</t>
        </is>
      </c>
      <c r="F35" s="79" t="n">
        <v>0</v>
      </c>
      <c r="G35" s="79" t="n">
        <v>0.005</v>
      </c>
      <c r="H35" s="79" t="n">
        <v>0.01</v>
      </c>
      <c r="I35" s="2" t="inlineStr">
        <is>
          <t>Hypothèse de travail</t>
        </is>
      </c>
      <c r="J35" s="2" t="n"/>
      <c r="K35" s="2" t="n"/>
      <c r="L35" s="2" t="n"/>
      <c r="M35" s="2" t="n"/>
      <c r="N35" s="2" t="n"/>
      <c r="O35" s="2" t="n"/>
      <c r="P35" s="2" t="n"/>
    </row>
    <row r="36">
      <c r="D36" s="2" t="inlineStr">
        <is>
          <t>Croissance annuelle effectifs privé hors finance</t>
        </is>
      </c>
      <c r="E36" s="2" t="inlineStr">
        <is>
          <t>% p.a.</t>
        </is>
      </c>
      <c r="F36" s="79" t="n">
        <v>0</v>
      </c>
      <c r="G36" s="79" t="n">
        <v>0.005</v>
      </c>
      <c r="H36" s="79" t="n">
        <v>0.01</v>
      </c>
      <c r="I36" s="2" t="inlineStr">
        <is>
          <t>Hypothèse de travail</t>
        </is>
      </c>
      <c r="J36" s="2" t="n"/>
      <c r="K36" s="2" t="n"/>
      <c r="L36" s="2" t="n"/>
      <c r="M36" s="2" t="n"/>
      <c r="N36" s="2" t="n"/>
      <c r="O36" s="2" t="n"/>
      <c r="P36" s="2" t="n"/>
    </row>
    <row r="37">
      <c r="D37" s="2" t="inlineStr">
        <is>
          <t>Croissance annuelle intensité numérique hors IA – public</t>
        </is>
      </c>
      <c r="E37" s="2" t="inlineStr">
        <is>
          <t>% p.a.</t>
        </is>
      </c>
      <c r="F37" s="79" t="n">
        <v>0.02</v>
      </c>
      <c r="G37" s="79" t="n">
        <v>0.04</v>
      </c>
      <c r="H37" s="79" t="n">
        <v>0.06</v>
      </c>
      <c r="I37" s="2" t="inlineStr">
        <is>
          <t>Hypothèse de travail – besoin IT / utilisateur</t>
        </is>
      </c>
      <c r="J37" s="2" t="n"/>
      <c r="K37" s="2" t="n"/>
      <c r="L37" s="2" t="n"/>
      <c r="M37" s="2" t="n"/>
      <c r="N37" s="2" t="n"/>
      <c r="O37" s="2" t="n"/>
      <c r="P37" s="2" t="n"/>
    </row>
    <row r="38">
      <c r="D38" s="2" t="inlineStr">
        <is>
          <t>Croissance annuelle intensité numérique hors IA – finance</t>
        </is>
      </c>
      <c r="E38" s="2" t="inlineStr">
        <is>
          <t>% p.a.</t>
        </is>
      </c>
      <c r="F38" s="79" t="n">
        <v>0.03</v>
      </c>
      <c r="G38" s="79" t="n">
        <v>0.05</v>
      </c>
      <c r="H38" s="79" t="n">
        <v>0.07000000000000001</v>
      </c>
      <c r="I38" s="2" t="inlineStr">
        <is>
          <t>Hypothèse de travail – finance plus data-intensive</t>
        </is>
      </c>
      <c r="J38" s="2" t="n"/>
      <c r="K38" s="2" t="n"/>
      <c r="L38" s="2" t="n"/>
      <c r="M38" s="2" t="n"/>
      <c r="N38" s="2" t="n"/>
      <c r="O38" s="2" t="n"/>
      <c r="P38" s="2" t="n"/>
    </row>
    <row r="39">
      <c r="D39" s="2" t="inlineStr">
        <is>
          <t>Croissance annuelle intensité numérique hors IA – hors finance</t>
        </is>
      </c>
      <c r="E39" s="2" t="inlineStr">
        <is>
          <t>% p.a.</t>
        </is>
      </c>
      <c r="F39" s="79" t="n">
        <v>0.02</v>
      </c>
      <c r="G39" s="79" t="n">
        <v>0.04</v>
      </c>
      <c r="H39" s="79" t="n">
        <v>0.06</v>
      </c>
      <c r="I39" s="2" t="inlineStr">
        <is>
          <t>Hypothèse de travail</t>
        </is>
      </c>
      <c r="J39" s="2" t="n"/>
      <c r="K39" s="2" t="n"/>
      <c r="L39" s="2" t="n"/>
      <c r="M39" s="2" t="n"/>
      <c r="N39" s="2" t="n"/>
      <c r="O39" s="2" t="n"/>
      <c r="P39" s="2" t="n"/>
    </row>
    <row r="40">
      <c r="D40" s="2" t="inlineStr">
        <is>
          <t>Surcouche IA 2035 – public</t>
        </is>
      </c>
      <c r="E40" s="2" t="inlineStr">
        <is>
          <t>%</t>
        </is>
      </c>
      <c r="F40" s="79" t="n">
        <v>0.05</v>
      </c>
      <c r="G40" s="79" t="n">
        <v>0.15</v>
      </c>
      <c r="H40" s="79" t="n">
        <v>0.35</v>
      </c>
      <c r="I40" s="2" t="inlineStr">
        <is>
          <t>Hypothèse de travail</t>
        </is>
      </c>
      <c r="J40" s="2" t="n"/>
      <c r="K40" s="2" t="n"/>
      <c r="L40" s="2" t="n"/>
      <c r="M40" s="2" t="n"/>
      <c r="N40" s="2" t="n"/>
      <c r="O40" s="2" t="n"/>
      <c r="P40" s="2" t="n"/>
    </row>
    <row r="41">
      <c r="D41" s="2" t="inlineStr">
        <is>
          <t>Surcouche IA 2035 – finance</t>
        </is>
      </c>
      <c r="E41" s="2" t="inlineStr">
        <is>
          <t>%</t>
        </is>
      </c>
      <c r="F41" s="79" t="n">
        <v>0.1</v>
      </c>
      <c r="G41" s="79" t="n">
        <v>0.25</v>
      </c>
      <c r="H41" s="79" t="n">
        <v>0.45</v>
      </c>
      <c r="I41" s="2" t="inlineStr">
        <is>
          <t>Hypothèse de travail</t>
        </is>
      </c>
      <c r="J41" s="2" t="n"/>
      <c r="K41" s="2" t="n"/>
      <c r="L41" s="2" t="n"/>
      <c r="M41" s="2" t="n"/>
      <c r="N41" s="2" t="n"/>
      <c r="O41" s="2" t="n"/>
      <c r="P41" s="2" t="n"/>
    </row>
    <row r="42">
      <c r="D42" s="2" t="inlineStr">
        <is>
          <t>Surcouche IA 2035 – hors finance</t>
        </is>
      </c>
      <c r="E42" s="2" t="inlineStr">
        <is>
          <t>%</t>
        </is>
      </c>
      <c r="F42" s="79" t="n">
        <v>0.05</v>
      </c>
      <c r="G42" s="79" t="n">
        <v>0.15</v>
      </c>
      <c r="H42" s="79" t="n">
        <v>0.3</v>
      </c>
      <c r="I42" s="2" t="inlineStr">
        <is>
          <t>Hypothèse de travail</t>
        </is>
      </c>
      <c r="J42" s="2" t="n"/>
      <c r="K42" s="2" t="n"/>
      <c r="L42" s="2" t="n"/>
      <c r="M42" s="2" t="n"/>
      <c r="N42" s="2" t="n"/>
      <c r="O42" s="2" t="n"/>
      <c r="P42" s="2" t="n"/>
    </row>
    <row r="43">
      <c r="D43" s="2" t="inlineStr">
        <is>
          <t>W IT / salarié finance – 2026</t>
        </is>
      </c>
      <c r="E43" s="2" t="inlineStr">
        <is>
          <t>W / salarié</t>
        </is>
      </c>
      <c r="F43" s="80" t="n">
        <v>80</v>
      </c>
      <c r="G43" s="80" t="n">
        <v>80</v>
      </c>
      <c r="H43" s="80" t="n">
        <v>80</v>
      </c>
      <c r="I43" s="2" t="inlineStr">
        <is>
          <t>Hypothèse de travail</t>
        </is>
      </c>
      <c r="J43" s="2" t="n"/>
      <c r="K43" s="2" t="n"/>
      <c r="L43" s="2" t="n"/>
      <c r="M43" s="2" t="n"/>
      <c r="N43" s="2" t="n"/>
      <c r="O43" s="2" t="n"/>
      <c r="P43" s="2" t="n"/>
    </row>
    <row r="44">
      <c r="D44" s="2" t="inlineStr">
        <is>
          <t>W IT / salarié hors finance – 2026</t>
        </is>
      </c>
      <c r="E44" s="2" t="inlineStr">
        <is>
          <t>W / salarié</t>
        </is>
      </c>
      <c r="F44" s="80" t="n">
        <v>30</v>
      </c>
      <c r="G44" s="80" t="n">
        <v>30</v>
      </c>
      <c r="H44" s="80" t="n">
        <v>30</v>
      </c>
      <c r="I44" s="2" t="inlineStr">
        <is>
          <t>Hypothèse de travail</t>
        </is>
      </c>
      <c r="J44" s="2" t="n"/>
      <c r="K44" s="2" t="n"/>
      <c r="L44" s="2" t="n"/>
      <c r="M44" s="2" t="n"/>
      <c r="N44" s="2" t="n"/>
      <c r="O44" s="2" t="n"/>
      <c r="P44" s="2" t="n"/>
    </row>
    <row r="45">
      <c r="D45" s="2" t="inlineStr">
        <is>
          <t>W IT / agent public – socle non-métier DSP</t>
        </is>
      </c>
      <c r="E45" s="2" t="inlineStr">
        <is>
          <t>W / agent</t>
        </is>
      </c>
      <c r="F45" s="80" t="n">
        <v>30</v>
      </c>
      <c r="G45" s="80" t="n">
        <v>30</v>
      </c>
      <c r="H45" s="80" t="n">
        <v>30</v>
      </c>
      <c r="I45" s="2" t="inlineStr">
        <is>
          <t>Hypothèse de travail</t>
        </is>
      </c>
      <c r="J45" s="2" t="n"/>
      <c r="K45" s="2" t="n"/>
      <c r="L45" s="2" t="n"/>
      <c r="M45" s="2" t="n"/>
      <c r="N45" s="2" t="n"/>
      <c r="O45" s="2" t="n"/>
      <c r="P45" s="2" t="n"/>
    </row>
    <row r="46">
      <c r="D46" s="2" t="inlineStr">
        <is>
          <t>Part adressable Monaco – public / CHPG / DSP / MT</t>
        </is>
      </c>
      <c r="E46" s="2" t="inlineStr">
        <is>
          <t>%</t>
        </is>
      </c>
      <c r="F46" s="79" t="n">
        <v>1</v>
      </c>
      <c r="G46" s="79" t="n">
        <v>1</v>
      </c>
      <c r="H46" s="79" t="n">
        <v>1</v>
      </c>
      <c r="I46" s="2" t="inlineStr">
        <is>
          <t>Convention projet</t>
        </is>
      </c>
      <c r="J46" s="2" t="n"/>
      <c r="K46" s="2" t="n"/>
      <c r="L46" s="2" t="n"/>
      <c r="M46" s="2" t="n"/>
      <c r="N46" s="2" t="n"/>
      <c r="O46" s="2" t="n"/>
      <c r="P46" s="2" t="n"/>
    </row>
    <row r="47">
      <c r="D47" s="2" t="inlineStr">
        <is>
          <t>Part adressable Monaco – finance</t>
        </is>
      </c>
      <c r="E47" s="2" t="inlineStr">
        <is>
          <t>%</t>
        </is>
      </c>
      <c r="F47" s="79" t="n">
        <v>0.2</v>
      </c>
      <c r="G47" s="79" t="n">
        <v>0.42</v>
      </c>
      <c r="H47" s="79" t="n">
        <v>0.5</v>
      </c>
      <c r="I47" s="2" t="inlineStr">
        <is>
          <t>Hypothèse de travail</t>
        </is>
      </c>
      <c r="J47" s="2" t="n"/>
      <c r="K47" s="2" t="n"/>
      <c r="L47" s="2" t="n"/>
      <c r="M47" s="2" t="n"/>
      <c r="N47" s="2" t="n"/>
      <c r="O47" s="2" t="n"/>
      <c r="P47" s="2" t="n"/>
    </row>
    <row r="48">
      <c r="D48" s="2" t="inlineStr">
        <is>
          <t>Part adressable Monaco – privé hors finance</t>
        </is>
      </c>
      <c r="E48" s="2" t="inlineStr">
        <is>
          <t>%</t>
        </is>
      </c>
      <c r="F48" s="79" t="n">
        <v>0.1</v>
      </c>
      <c r="G48" s="79" t="n">
        <v>0.2</v>
      </c>
      <c r="H48" s="79" t="n">
        <v>0.35</v>
      </c>
      <c r="I48" s="2" t="inlineStr">
        <is>
          <t>Hypothèse de travail</t>
        </is>
      </c>
      <c r="J48" s="2" t="n"/>
      <c r="K48" s="2" t="n"/>
      <c r="L48" s="2" t="n"/>
      <c r="M48" s="2" t="n"/>
      <c r="N48" s="2" t="n"/>
      <c r="O48" s="2" t="n"/>
      <c r="P48" s="2" t="n"/>
    </row>
    <row r="49">
      <c r="D49" s="2" t="inlineStr">
        <is>
          <t>Part adressable Monaco – surcouche IA public</t>
        </is>
      </c>
      <c r="E49" s="2" t="inlineStr">
        <is>
          <t>%</t>
        </is>
      </c>
      <c r="F49" s="79" t="n">
        <v>0.25</v>
      </c>
      <c r="G49" s="79" t="n">
        <v>0.6</v>
      </c>
      <c r="H49" s="79" t="n">
        <v>1</v>
      </c>
      <c r="I49" s="2" t="inlineStr">
        <is>
          <t>Externalisée / hybride / locale</t>
        </is>
      </c>
      <c r="J49" s="2" t="n"/>
      <c r="K49" s="2" t="n"/>
      <c r="L49" s="2" t="n"/>
      <c r="M49" s="2" t="n"/>
      <c r="N49" s="2" t="n"/>
      <c r="O49" s="2" t="n"/>
      <c r="P49" s="2" t="n"/>
    </row>
    <row r="50">
      <c r="D50" s="2" t="inlineStr">
        <is>
          <t>Part adressable Monaco – surcouche IA finance</t>
        </is>
      </c>
      <c r="E50" s="2" t="inlineStr">
        <is>
          <t>%</t>
        </is>
      </c>
      <c r="F50" s="79" t="n">
        <v>0.15</v>
      </c>
      <c r="G50" s="79" t="n">
        <v>0.4</v>
      </c>
      <c r="H50" s="79" t="n">
        <v>0.75</v>
      </c>
      <c r="I50" s="2" t="inlineStr">
        <is>
          <t>Externalisée / hybride / locale</t>
        </is>
      </c>
      <c r="J50" s="2" t="n"/>
      <c r="K50" s="2" t="n"/>
      <c r="L50" s="2" t="n"/>
      <c r="M50" s="2" t="n"/>
      <c r="N50" s="2" t="n"/>
      <c r="O50" s="2" t="n"/>
      <c r="P50" s="2" t="n"/>
    </row>
    <row r="51" ht="15.6" customHeight="1" thickBot="1">
      <c r="D51" s="24" t="inlineStr">
        <is>
          <t>Part adressable Monaco – surcouche IA hors finance</t>
        </is>
      </c>
      <c r="E51" s="24" t="inlineStr">
        <is>
          <t>%</t>
        </is>
      </c>
      <c r="F51" s="81" t="n">
        <v>0.1</v>
      </c>
      <c r="G51" s="81" t="n">
        <v>0.3</v>
      </c>
      <c r="H51" s="81" t="n">
        <v>0.6</v>
      </c>
      <c r="I51" s="24" t="inlineStr">
        <is>
          <t>Externalisée / hybride / locale</t>
        </is>
      </c>
      <c r="J51" s="2" t="n"/>
      <c r="K51" s="2" t="n"/>
      <c r="L51" s="2" t="n"/>
      <c r="M51" s="2" t="n"/>
      <c r="N51" s="2" t="n"/>
      <c r="O51" s="2" t="n"/>
      <c r="P51" s="2" t="n"/>
    </row>
    <row r="52" ht="15.6" customHeight="1" thickTop="1"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 ht="16.2" customHeight="1">
      <c r="B54" s="74" t="inlineStr">
        <is>
          <t>C.</t>
        </is>
      </c>
      <c r="D54" s="74" t="inlineStr">
        <is>
          <t>Hypothèses DSP – applications métier (vidéo)</t>
        </is>
      </c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2" t="n"/>
      <c r="O54" s="2" t="n"/>
      <c r="P54" s="2" t="n"/>
    </row>
    <row r="55" ht="16.2" customHeight="1"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2" t="n"/>
      <c r="O55" s="2" t="n"/>
      <c r="P55" s="2" t="n"/>
    </row>
    <row r="56" ht="15.6" customHeight="1" thickBot="1">
      <c r="D56" s="22" t="inlineStr">
        <is>
          <t>Hypothèse</t>
        </is>
      </c>
      <c r="E56" s="22" t="inlineStr">
        <is>
          <t>Unité</t>
        </is>
      </c>
      <c r="F56" s="22" t="inlineStr">
        <is>
          <t>Valeur</t>
        </is>
      </c>
      <c r="G56" s="22" t="inlineStr">
        <is>
          <t>Type</t>
        </is>
      </c>
      <c r="H56" s="22" t="inlineStr">
        <is>
          <t>Source / rationnel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D57" s="2" t="inlineStr">
        <is>
          <t>Caméras 2026</t>
        </is>
      </c>
      <c r="E57" s="2" t="inlineStr">
        <is>
          <t>caméras</t>
        </is>
      </c>
      <c r="F57" s="12" t="n">
        <v>1500</v>
      </c>
      <c r="G57" s="2" t="inlineStr">
        <is>
          <t>Input</t>
        </is>
      </c>
      <c r="H57" s="2" t="inlineStr">
        <is>
          <t>Donnée équipe projet</t>
        </is>
      </c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D58" s="2" t="inlineStr">
        <is>
          <t>Ajout annuel de caméras</t>
        </is>
      </c>
      <c r="E58" s="2" t="inlineStr">
        <is>
          <t>caméras / an</t>
        </is>
      </c>
      <c r="F58" s="12" t="n">
        <v>50</v>
      </c>
      <c r="G58" s="2" t="inlineStr">
        <is>
          <t>Input</t>
        </is>
      </c>
      <c r="H58" s="2" t="inlineStr">
        <is>
          <t>Donnée équipe projet</t>
        </is>
      </c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D59" s="2" t="inlineStr">
        <is>
          <t>Caméras 2035</t>
        </is>
      </c>
      <c r="E59" s="2" t="inlineStr">
        <is>
          <t>caméras</t>
        </is>
      </c>
      <c r="F59" s="13">
        <f>F57+9*F58</f>
        <v/>
      </c>
      <c r="G59" s="2" t="inlineStr">
        <is>
          <t>Formule</t>
        </is>
      </c>
      <c r="H59" s="2" t="inlineStr">
        <is>
          <t>2026 + 9 × ajout annuel</t>
        </is>
      </c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D60" s="2" t="inlineStr">
        <is>
          <t>Résolution actuelle</t>
        </is>
      </c>
      <c r="E60" s="2" t="inlineStr">
        <is>
          <t>MP</t>
        </is>
      </c>
      <c r="F60" s="12" t="n">
        <v>2</v>
      </c>
      <c r="G60" s="2" t="inlineStr">
        <is>
          <t>Input</t>
        </is>
      </c>
      <c r="H60" s="2" t="inlineStr">
        <is>
          <t>Donnée équipe projet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D61" s="2" t="inlineStr">
        <is>
          <t>Résolution cible 2035</t>
        </is>
      </c>
      <c r="E61" s="2" t="inlineStr">
        <is>
          <t>MP</t>
        </is>
      </c>
      <c r="F61" s="12" t="n">
        <v>8</v>
      </c>
      <c r="G61" s="2" t="inlineStr">
        <is>
          <t>Input</t>
        </is>
      </c>
      <c r="H61" s="2" t="inlineStr">
        <is>
          <t>Donnée équipe projet – 4K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</row>
    <row r="62" ht="15.6" customHeight="1" thickBot="1">
      <c r="D62" s="24" t="inlineStr">
        <is>
          <t>Facteur bitrate 8MP / 2MP</t>
        </is>
      </c>
      <c r="E62" s="24" t="inlineStr">
        <is>
          <t>x</t>
        </is>
      </c>
      <c r="F62" s="82" t="n">
        <v>3.953125</v>
      </c>
      <c r="G62" s="24" t="inlineStr">
        <is>
          <t>Benchmark</t>
        </is>
      </c>
      <c r="H62" s="67" t="inlineStr">
        <is>
          <t>Axis H.265, 24–30 fps : 2.53 / 0.64 Mb/s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</row>
    <row r="63" ht="15.6" customHeight="1" thickTop="1"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 ht="16.2" customHeight="1">
      <c r="B64" s="74" t="inlineStr">
        <is>
          <t>D.</t>
        </is>
      </c>
      <c r="D64" s="83" t="inlineStr">
        <is>
          <t>Hypothèses CHPG</t>
        </is>
      </c>
      <c r="N64" s="2" t="n"/>
      <c r="O64" s="2" t="n"/>
      <c r="P64" s="2" t="n"/>
    </row>
    <row r="65" ht="16.2" customHeight="1"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2" t="n"/>
      <c r="O65" s="2" t="n"/>
      <c r="P65" s="2" t="n"/>
    </row>
    <row r="66" ht="15.6" customHeight="1" thickBot="1">
      <c r="D66" s="22" t="inlineStr">
        <is>
          <t>Hypothèse</t>
        </is>
      </c>
      <c r="E66" s="22" t="inlineStr">
        <is>
          <t>Unité</t>
        </is>
      </c>
      <c r="F66" s="22" t="inlineStr">
        <is>
          <t>Scénario Bas</t>
        </is>
      </c>
      <c r="G66" s="22" t="inlineStr">
        <is>
          <t>Scénario Central</t>
        </is>
      </c>
      <c r="H66" s="22" t="inlineStr">
        <is>
          <t>Scénario Haut</t>
        </is>
      </c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D67" s="2" t="inlineStr">
        <is>
          <t>Croissance annuelle activité CHPG</t>
        </is>
      </c>
      <c r="E67" s="2" t="inlineStr">
        <is>
          <t>% p.a.</t>
        </is>
      </c>
      <c r="F67" s="79" t="n">
        <v>0</v>
      </c>
      <c r="G67" s="79" t="n">
        <v>0.005</v>
      </c>
      <c r="H67" s="79" t="n">
        <v>0.01</v>
      </c>
      <c r="I67" s="2" t="n"/>
      <c r="J67" s="2" t="n"/>
      <c r="K67" s="2" t="n"/>
      <c r="L67" s="2" t="n"/>
      <c r="M67" s="2" t="n"/>
      <c r="N67" s="2" t="n"/>
      <c r="O67" s="2" t="n"/>
      <c r="P67" s="2" t="n"/>
    </row>
    <row r="68" ht="15.6" customHeight="1" thickBot="1">
      <c r="D68" s="24" t="inlineStr">
        <is>
          <t>Surcroît métier santé / digitalisation 2035</t>
        </is>
      </c>
      <c r="E68" s="24" t="inlineStr">
        <is>
          <t>%</t>
        </is>
      </c>
      <c r="F68" s="81" t="n">
        <v>0.05</v>
      </c>
      <c r="G68" s="81" t="n">
        <v>0.1</v>
      </c>
      <c r="H68" s="81" t="n">
        <v>0.2</v>
      </c>
      <c r="I68" s="2" t="n"/>
      <c r="J68" s="2" t="n"/>
      <c r="K68" s="2" t="n"/>
      <c r="L68" s="2" t="n"/>
      <c r="M68" s="2" t="n"/>
      <c r="N68" s="2" t="n"/>
      <c r="O68" s="2" t="n"/>
      <c r="P68" s="2" t="n"/>
    </row>
    <row r="69" ht="15.6" customHeight="1" thickTop="1"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 ht="16.2" customHeight="1">
      <c r="D71" s="83" t="inlineStr">
        <is>
          <t>E. Sources principales</t>
        </is>
      </c>
      <c r="N71" s="2" t="n"/>
      <c r="O71" s="2" t="n"/>
      <c r="P71" s="2" t="n"/>
    </row>
    <row r="72">
      <c r="D72" s="2" t="inlineStr">
        <is>
          <t>IMSEE – Monaco en chiffres 2025</t>
        </is>
      </c>
      <c r="E72" s="12" t="inlineStr">
        <is>
          <t>https://www.imsee.mc/Publications/Monaco-en-chiffres-edition-2025</t>
        </is>
      </c>
      <c r="F72" s="2" t="inlineStr">
        <is>
          <t>Effectifs privés / finance – données 2024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D73" s="2" t="inlineStr">
        <is>
          <t>IMSEE – Emploi</t>
        </is>
      </c>
      <c r="E73" s="12" t="inlineStr">
        <is>
          <t>https://www.imsee.mc/Population-et-emploi/Emploi</t>
        </is>
      </c>
      <c r="F73" s="2" t="inlineStr">
        <is>
          <t>Effectifs salariés privé / public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D74" s="2" t="inlineStr">
        <is>
          <t>Axis – Surveillance Card selector</t>
        </is>
      </c>
      <c r="E74" s="12" t="inlineStr">
        <is>
          <t>https://www.axis.com/en-be/products/axis-surveillance-card-256-gb</t>
        </is>
      </c>
      <c r="F74" s="2" t="inlineStr">
        <is>
          <t>Bitrates indicatifs 2MP / 8MP H.265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 ht="15.6" customHeight="1" thickBot="1">
      <c r="D75" s="24" t="inlineStr">
        <is>
          <t>Cisco – Green Office Design</t>
        </is>
      </c>
      <c r="E75" s="29" t="inlineStr">
        <is>
          <t>https://www.cisco.com/c/dam/en_us/about/ciscoitatwork/downloads/ciscoitatwork/pdf/Cisco_IT_Case_Study_Green_Office_Design.pdf</t>
        </is>
      </c>
      <c r="F75" s="24" t="inlineStr">
        <is>
          <t>Contexte énergie IT de bureau ; non utilisé comme ratio DC direct</t>
        </is>
      </c>
      <c r="G75" s="24" t="n"/>
      <c r="H75" s="24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 ht="15.6" customHeight="1" thickTop="1"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</sheetData>
  <mergeCells count="2">
    <mergeCell ref="D64:M64"/>
    <mergeCell ref="D71:M71"/>
  </mergeCells>
  <hyperlinks>
    <hyperlink xmlns:r="http://schemas.openxmlformats.org/officeDocument/2006/relationships" ref="H62" r:id="rId1"/>
  </hyperlinks>
  <pageMargins left="0.7" right="0.7" top="0.75" bottom="0.75" header="0.3" footer="0.3"/>
  <headerFooter>
    <oddHeader>&amp;L&amp;"Aptos"&amp;1 &amp;K000000 INTERNAL#_x000d_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120"/>
  <sheetViews>
    <sheetView topLeftCell="A73" zoomScale="107" zoomScaleNormal="55" workbookViewId="0">
      <selection activeCell="G101" sqref="G101"/>
    </sheetView>
  </sheetViews>
  <sheetFormatPr baseColWidth="8" defaultColWidth="8.69921875" defaultRowHeight="15"/>
  <cols>
    <col width="4.8984375" customWidth="1" style="1" min="1" max="2"/>
    <col width="6" customWidth="1" style="1" min="3" max="3"/>
    <col width="43" customWidth="1" style="1" min="4" max="4"/>
    <col width="19.59765625" customWidth="1" style="1" min="5" max="5"/>
    <col width="27.3984375" customWidth="1" style="1" min="6" max="6"/>
    <col width="18.5" bestFit="1" customWidth="1" style="1" min="7" max="7"/>
    <col width="29.69921875" customWidth="1" style="1" min="8" max="8"/>
    <col width="18" customWidth="1" style="1" min="9" max="9"/>
    <col width="41.69921875" customWidth="1" style="1" min="10" max="10"/>
    <col width="18" customWidth="1" style="1" min="11" max="11"/>
    <col width="43.59765625" customWidth="1" style="1" min="12" max="12"/>
    <col width="23.19921875" customWidth="1" style="1" min="13" max="13"/>
    <col width="18" customWidth="1" style="1" min="14" max="14"/>
    <col width="26.3984375" customWidth="1" style="1" min="15" max="15"/>
    <col width="31.19921875" bestFit="1" customWidth="1" style="1" min="16" max="16"/>
    <col width="8.69921875" customWidth="1" style="1" min="17" max="16384"/>
  </cols>
  <sheetData>
    <row r="1" ht="10.2" customFormat="1" customHeight="1" s="57">
      <c r="F1" s="58" t="n"/>
      <c r="G1" s="58" t="n"/>
      <c r="H1" s="58" t="n"/>
      <c r="I1" s="58" t="n"/>
      <c r="J1" s="58" t="n"/>
      <c r="L1" s="58" t="n"/>
      <c r="M1" s="58" t="n"/>
      <c r="N1" s="58" t="n"/>
      <c r="O1" s="58" t="n"/>
      <c r="P1" s="58" t="n"/>
      <c r="Q1" s="58" t="n"/>
    </row>
    <row r="2" ht="34.2" customFormat="1" customHeight="1" s="57">
      <c r="B2" s="60" t="inlineStr">
        <is>
          <t>Calculs</t>
        </is>
      </c>
      <c r="D2" s="60" t="n"/>
      <c r="E2" s="59" t="n"/>
      <c r="G2" s="60" t="n"/>
      <c r="H2" s="61" t="n"/>
      <c r="I2" s="61" t="n"/>
      <c r="J2" s="61" t="n"/>
      <c r="K2" s="62" t="n"/>
      <c r="L2" s="61" t="n"/>
      <c r="M2" s="61" t="n"/>
      <c r="N2" s="61" t="n"/>
      <c r="O2" s="61" t="n"/>
      <c r="P2" s="61" t="n"/>
      <c r="Q2" s="61" t="n"/>
    </row>
    <row r="3" ht="15.6" customFormat="1" customHeight="1" s="57">
      <c r="E3" s="59" t="n"/>
      <c r="F3" s="60" t="n"/>
      <c r="G3" s="60" t="n"/>
      <c r="H3" s="61" t="n"/>
      <c r="I3" s="61" t="n"/>
      <c r="J3" s="61" t="n"/>
      <c r="K3" s="62" t="n"/>
      <c r="L3" s="61" t="n"/>
      <c r="M3" s="61" t="n"/>
      <c r="N3" s="61" t="n"/>
      <c r="O3" s="61" t="n"/>
      <c r="P3" s="61" t="n"/>
      <c r="Q3" s="61" t="n"/>
    </row>
    <row r="4" ht="15" customFormat="1" customHeight="1" s="66">
      <c r="E4" s="63" t="n"/>
      <c r="F4" s="64" t="n"/>
      <c r="G4" s="64" t="n"/>
      <c r="H4" s="64" t="n"/>
      <c r="I4" s="64" t="n"/>
      <c r="J4" s="64" t="n"/>
      <c r="K4" s="65" t="n"/>
      <c r="L4" s="64" t="n"/>
      <c r="M4" s="64" t="n"/>
      <c r="N4" s="64" t="n"/>
      <c r="O4" s="64" t="n"/>
      <c r="P4" s="64" t="n"/>
      <c r="Q4" s="64" t="n"/>
    </row>
    <row r="5"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 ht="16.2" customHeight="1">
      <c r="B6" s="74" t="inlineStr">
        <is>
          <t>A.</t>
        </is>
      </c>
      <c r="D6" s="83" t="inlineStr">
        <is>
          <t>Baseline besoins d'hébergement 2026</t>
        </is>
      </c>
    </row>
    <row r="7" ht="16.2" customHeight="1"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</row>
    <row r="8" ht="15.6" customHeight="1" thickBot="1">
      <c r="D8" s="22" t="inlineStr">
        <is>
          <t>Bloc</t>
        </is>
      </c>
      <c r="E8" s="22" t="inlineStr">
        <is>
          <t>Unité</t>
        </is>
      </c>
      <c r="F8" s="22" t="inlineStr">
        <is>
          <t>Baseline 2026</t>
        </is>
      </c>
      <c r="G8" s="22" t="inlineStr">
        <is>
          <t>Métier 2026</t>
        </is>
      </c>
      <c r="H8" s="22" t="inlineStr">
        <is>
          <t>Non-métier 2026 (kW)</t>
        </is>
      </c>
      <c r="M8" s="2" t="n"/>
      <c r="N8" s="2" t="n"/>
      <c r="O8" s="2" t="n"/>
      <c r="P8" s="2" t="n"/>
    </row>
    <row r="9">
      <c r="D9" s="14" t="inlineStr">
        <is>
          <t>DSP</t>
        </is>
      </c>
      <c r="E9" s="1" t="inlineStr">
        <is>
          <t>kW</t>
        </is>
      </c>
      <c r="F9" s="53">
        <f>'1_Inputs&amp;Hyp'!F9</f>
        <v/>
      </c>
      <c r="G9" s="14">
        <f>F9-H9</f>
        <v/>
      </c>
      <c r="H9" s="14">
        <f>F21*G21/1000</f>
        <v/>
      </c>
      <c r="M9" s="2" t="n"/>
      <c r="N9" s="2" t="n"/>
      <c r="O9" s="2" t="n"/>
      <c r="P9" s="2" t="n"/>
    </row>
    <row r="10">
      <c r="D10" s="14" t="inlineStr">
        <is>
          <t>DENJS</t>
        </is>
      </c>
      <c r="E10" s="1" t="inlineStr">
        <is>
          <t>kW</t>
        </is>
      </c>
      <c r="F10" s="53">
        <f>'1_Inputs&amp;Hyp'!F10</f>
        <v/>
      </c>
      <c r="G10" s="55" t="n">
        <v>0</v>
      </c>
      <c r="H10" s="14">
        <f>F10</f>
        <v/>
      </c>
      <c r="M10" s="2" t="n"/>
      <c r="N10" s="2" t="n"/>
      <c r="O10" s="2" t="n"/>
      <c r="P10" s="2" t="n"/>
    </row>
    <row r="11">
      <c r="D11" s="14" t="inlineStr">
        <is>
          <t>APDP</t>
        </is>
      </c>
      <c r="E11" s="1" t="inlineStr">
        <is>
          <t>kW</t>
        </is>
      </c>
      <c r="F11" s="53">
        <f>'1_Inputs&amp;Hyp'!F11</f>
        <v/>
      </c>
      <c r="G11" s="55" t="n">
        <v>0</v>
      </c>
      <c r="H11" s="14">
        <f>F11</f>
        <v/>
      </c>
      <c r="M11" s="2" t="n"/>
      <c r="N11" s="2" t="n"/>
      <c r="O11" s="2" t="n"/>
      <c r="P11" s="2" t="n"/>
    </row>
    <row r="12">
      <c r="D12" s="14" t="inlineStr">
        <is>
          <t>DITN</t>
        </is>
      </c>
      <c r="E12" s="1" t="inlineStr">
        <is>
          <t>kW</t>
        </is>
      </c>
      <c r="F12" s="53">
        <f>'1_Inputs&amp;Hyp'!F12</f>
        <v/>
      </c>
      <c r="G12" s="55" t="n">
        <v>0</v>
      </c>
      <c r="H12" s="14">
        <f>F12</f>
        <v/>
      </c>
      <c r="M12" s="2" t="n"/>
      <c r="N12" s="2" t="n"/>
      <c r="O12" s="2" t="n"/>
      <c r="P12" s="2" t="n"/>
    </row>
    <row r="13">
      <c r="D13" s="14" t="inlineStr">
        <is>
          <t>CHPG</t>
        </is>
      </c>
      <c r="E13" s="1" t="inlineStr">
        <is>
          <t>kW</t>
        </is>
      </c>
      <c r="F13" s="53">
        <f>'1_Inputs&amp;Hyp'!F13</f>
        <v/>
      </c>
      <c r="G13" s="14">
        <f>F13</f>
        <v/>
      </c>
      <c r="H13" s="55" t="n">
        <v>0</v>
      </c>
      <c r="M13" s="2" t="n"/>
      <c r="N13" s="2" t="n"/>
      <c r="O13" s="2" t="n"/>
      <c r="P13" s="2" t="n"/>
    </row>
    <row r="14">
      <c r="D14" s="14" t="inlineStr">
        <is>
          <t>Monaco Telecom</t>
        </is>
      </c>
      <c r="E14" s="1" t="inlineStr">
        <is>
          <t>kW</t>
        </is>
      </c>
      <c r="F14" s="53">
        <f>'1_Inputs&amp;Hyp'!F14</f>
        <v/>
      </c>
      <c r="G14" s="55" t="n">
        <v>0</v>
      </c>
      <c r="H14" s="14">
        <f>F14</f>
        <v/>
      </c>
      <c r="M14" s="2" t="n"/>
      <c r="N14" s="2" t="n"/>
      <c r="O14" s="2" t="n"/>
      <c r="P14" s="2" t="n"/>
    </row>
    <row r="15">
      <c r="D15" s="14" t="inlineStr">
        <is>
          <t>Finance</t>
        </is>
      </c>
      <c r="E15" s="1" t="inlineStr">
        <is>
          <t>kW</t>
        </is>
      </c>
      <c r="F15" s="53">
        <f>'1_Inputs&amp;Hyp'!F26*F43/1000</f>
        <v/>
      </c>
      <c r="G15" s="55" t="n">
        <v>0</v>
      </c>
      <c r="H15" s="14">
        <f>F15</f>
        <v/>
      </c>
      <c r="M15" s="2" t="n"/>
      <c r="N15" s="2" t="n"/>
      <c r="O15" s="2" t="n"/>
      <c r="P15" s="2" t="n"/>
    </row>
    <row r="16" ht="15.6" customHeight="1" thickBot="1">
      <c r="D16" s="18" t="inlineStr">
        <is>
          <t>Privé hors finance</t>
        </is>
      </c>
      <c r="E16" s="20" t="inlineStr">
        <is>
          <t>kW</t>
        </is>
      </c>
      <c r="F16" s="54">
        <f>'1_Inputs&amp;Hyp'!F27*F44/1000</f>
        <v/>
      </c>
      <c r="G16" s="56" t="n">
        <v>0</v>
      </c>
      <c r="H16" s="18">
        <f>F16</f>
        <v/>
      </c>
      <c r="M16" s="2" t="n"/>
      <c r="N16" s="2" t="n"/>
      <c r="O16" s="2" t="n"/>
      <c r="P16" s="2" t="n"/>
    </row>
    <row r="17" ht="15.6" customHeight="1" thickTop="1">
      <c r="D17" s="21" t="inlineStr">
        <is>
          <t>TOTAL</t>
        </is>
      </c>
      <c r="E17" s="14" t="inlineStr">
        <is>
          <t>kW</t>
        </is>
      </c>
      <c r="F17" s="14">
        <f>SUM(F9:F16)</f>
        <v/>
      </c>
      <c r="G17" s="14">
        <f>SUM(G9:G16)</f>
        <v/>
      </c>
      <c r="H17" s="14">
        <f>SUM(H9:H16)</f>
        <v/>
      </c>
      <c r="I17" s="14" t="n"/>
      <c r="J17" s="14" t="n"/>
      <c r="K17" s="2" t="n"/>
      <c r="L17" s="2" t="n"/>
      <c r="M17" s="2" t="n"/>
      <c r="N17" s="2" t="n"/>
      <c r="O17" s="2" t="n"/>
      <c r="P17" s="2" t="n"/>
    </row>
    <row r="18">
      <c r="D18" s="14" t="n"/>
      <c r="E18" s="14" t="n"/>
      <c r="F18" s="14" t="n"/>
      <c r="G18" s="14" t="n"/>
      <c r="H18" s="14" t="n"/>
      <c r="I18" s="14" t="n"/>
      <c r="J18" s="14" t="n"/>
      <c r="K18" s="2" t="n"/>
      <c r="L18" s="2" t="n"/>
      <c r="M18" s="2" t="n"/>
      <c r="N18" s="2" t="n"/>
      <c r="O18" s="2" t="n"/>
      <c r="P18" s="2" t="n"/>
    </row>
    <row r="19">
      <c r="D19" s="14" t="n"/>
      <c r="E19" s="14" t="n"/>
      <c r="F19" s="14" t="n"/>
      <c r="G19" s="14" t="n"/>
      <c r="H19" s="14" t="n"/>
      <c r="I19" s="14" t="n"/>
      <c r="J19" s="14" t="n"/>
      <c r="K19" s="2" t="n"/>
      <c r="L19" s="2" t="n"/>
      <c r="M19" s="2" t="n"/>
      <c r="N19" s="2" t="n"/>
      <c r="O19" s="2" t="n"/>
      <c r="P19" s="2" t="n"/>
    </row>
    <row r="20" ht="15.6" customHeight="1" thickBot="1">
      <c r="D20" s="22" t="inlineStr">
        <is>
          <t>Bloc</t>
        </is>
      </c>
      <c r="E20" s="22" t="inlineStr">
        <is>
          <t>Unité</t>
        </is>
      </c>
      <c r="F20" s="22" t="inlineStr">
        <is>
          <t>Effectifs / driver</t>
        </is>
      </c>
      <c r="G20" s="22" t="inlineStr">
        <is>
          <t>W IT / utilisateur</t>
        </is>
      </c>
      <c r="H20" s="22" t="inlineStr">
        <is>
          <t>Commentaire</t>
        </is>
      </c>
      <c r="I20" s="14" t="n"/>
      <c r="J20" s="14" t="n"/>
      <c r="K20" s="2" t="n"/>
      <c r="L20" s="2" t="n"/>
      <c r="M20" s="2" t="n"/>
      <c r="N20" s="2" t="n"/>
      <c r="O20" s="2" t="n"/>
      <c r="P20" s="2" t="n"/>
    </row>
    <row r="21">
      <c r="D21" s="14" t="inlineStr">
        <is>
          <t>DSP</t>
        </is>
      </c>
      <c r="E21" s="14" t="inlineStr">
        <is>
          <t>W IT / Utilisateur</t>
        </is>
      </c>
      <c r="F21" s="14">
        <f>'1_Inputs&amp;Hyp'!F20</f>
        <v/>
      </c>
      <c r="G21" s="14">
        <f>F45</f>
        <v/>
      </c>
      <c r="H21" s="14" t="inlineStr">
        <is>
          <t>DSP : résiduel vidéo après socle agents</t>
        </is>
      </c>
      <c r="I21" s="14" t="n"/>
      <c r="J21" s="14" t="n"/>
      <c r="K21" s="2" t="n"/>
      <c r="L21" s="2" t="n"/>
      <c r="M21" s="2" t="n"/>
      <c r="N21" s="2" t="n"/>
      <c r="O21" s="2" t="n"/>
      <c r="P21" s="2" t="n"/>
    </row>
    <row r="22">
      <c r="D22" s="14" t="inlineStr">
        <is>
          <t>DENJS</t>
        </is>
      </c>
      <c r="E22" s="14" t="inlineStr">
        <is>
          <t>n.a.</t>
        </is>
      </c>
      <c r="F22" s="14" t="n"/>
      <c r="G22" s="14" t="n"/>
      <c r="H22" s="14" t="inlineStr">
        <is>
          <t>Projection générique public</t>
        </is>
      </c>
      <c r="I22" s="14" t="n"/>
      <c r="J22" s="14" t="n"/>
      <c r="K22" s="2" t="n"/>
      <c r="L22" s="2" t="n"/>
      <c r="M22" s="2" t="n"/>
      <c r="N22" s="2" t="n"/>
      <c r="O22" s="2" t="n"/>
      <c r="P22" s="2" t="n"/>
    </row>
    <row r="23">
      <c r="D23" s="14" t="inlineStr">
        <is>
          <t>APDP</t>
        </is>
      </c>
      <c r="E23" s="14" t="inlineStr">
        <is>
          <t>n.a.</t>
        </is>
      </c>
      <c r="F23" s="14" t="n"/>
      <c r="G23" s="14" t="n"/>
      <c r="H23" s="14" t="inlineStr">
        <is>
          <t>Projection générique public</t>
        </is>
      </c>
      <c r="I23" s="14" t="n"/>
      <c r="J23" s="14" t="n"/>
      <c r="K23" s="2" t="n"/>
      <c r="L23" s="2" t="n"/>
      <c r="M23" s="2" t="n"/>
      <c r="N23" s="2" t="n"/>
      <c r="O23" s="2" t="n"/>
      <c r="P23" s="2" t="n"/>
    </row>
    <row r="24">
      <c r="D24" s="14" t="inlineStr">
        <is>
          <t>DITN</t>
        </is>
      </c>
      <c r="E24" s="14" t="inlineStr">
        <is>
          <t>n.a.</t>
        </is>
      </c>
      <c r="F24" s="14" t="n"/>
      <c r="G24" s="14" t="n"/>
      <c r="H24" s="14" t="inlineStr">
        <is>
          <t>Projection générique public</t>
        </is>
      </c>
      <c r="I24" s="14" t="n"/>
      <c r="J24" s="14" t="n"/>
      <c r="K24" s="2" t="n"/>
      <c r="L24" s="2" t="n"/>
      <c r="M24" s="2" t="n"/>
      <c r="N24" s="2" t="n"/>
      <c r="O24" s="2" t="n"/>
      <c r="P24" s="2" t="n"/>
    </row>
    <row r="25">
      <c r="D25" s="14" t="inlineStr">
        <is>
          <t>CHPG</t>
        </is>
      </c>
      <c r="E25" s="14" t="inlineStr">
        <is>
          <t>n.a.</t>
        </is>
      </c>
      <c r="F25" s="14" t="n"/>
      <c r="G25" s="14" t="n"/>
      <c r="H25" s="14" t="inlineStr">
        <is>
          <t>CHPG : activité + intensité + digitalisation métier</t>
        </is>
      </c>
      <c r="I25" s="14" t="n"/>
      <c r="J25" s="14" t="n"/>
      <c r="K25" s="2" t="n"/>
      <c r="L25" s="2" t="n"/>
      <c r="M25" s="2" t="n"/>
      <c r="N25" s="2" t="n"/>
      <c r="O25" s="2" t="n"/>
      <c r="P25" s="2" t="n"/>
    </row>
    <row r="26">
      <c r="D26" s="14" t="inlineStr">
        <is>
          <t>Monaco Telecom</t>
        </is>
      </c>
      <c r="E26" s="14" t="inlineStr">
        <is>
          <t>n.a.</t>
        </is>
      </c>
      <c r="F26" s="14" t="n"/>
      <c r="G26" s="14" t="n"/>
      <c r="H26" s="14" t="inlineStr">
        <is>
          <t>Besoins propres uniquement</t>
        </is>
      </c>
      <c r="I26" s="14" t="n"/>
      <c r="J26" s="14" t="n"/>
      <c r="K26" s="2" t="n"/>
      <c r="L26" s="2" t="n"/>
      <c r="M26" s="2" t="n"/>
      <c r="N26" s="2" t="n"/>
      <c r="O26" s="2" t="n"/>
      <c r="P26" s="2" t="n"/>
    </row>
    <row r="27">
      <c r="D27" s="14" t="inlineStr">
        <is>
          <t>Finance</t>
        </is>
      </c>
      <c r="E27" s="14" t="inlineStr">
        <is>
          <t>W IT / Utilisateur</t>
        </is>
      </c>
      <c r="F27" s="14">
        <f>'1_Inputs&amp;Hyp'!F26</f>
        <v/>
      </c>
      <c r="G27" s="14">
        <f>F43</f>
        <v/>
      </c>
      <c r="H27" s="14" t="inlineStr">
        <is>
          <t>Effectifs × W/salarié</t>
        </is>
      </c>
      <c r="I27" s="14" t="n"/>
      <c r="J27" s="14" t="n"/>
      <c r="K27" s="2" t="n"/>
      <c r="L27" s="2" t="n"/>
      <c r="M27" s="2" t="n"/>
      <c r="N27" s="2" t="n"/>
      <c r="O27" s="2" t="n"/>
      <c r="P27" s="2" t="n"/>
    </row>
    <row r="28" ht="15.6" customHeight="1" thickBot="1">
      <c r="D28" s="18" t="inlineStr">
        <is>
          <t>Privé hors finance</t>
        </is>
      </c>
      <c r="E28" s="18" t="inlineStr">
        <is>
          <t>W IT / Utilisateur</t>
        </is>
      </c>
      <c r="F28" s="18">
        <f>'1_Inputs&amp;Hyp'!F27</f>
        <v/>
      </c>
      <c r="G28" s="18">
        <f>F44</f>
        <v/>
      </c>
      <c r="H28" s="18" t="inlineStr">
        <is>
          <t>Effectifs × W/salarié</t>
        </is>
      </c>
      <c r="I28" s="14" t="n"/>
      <c r="J28" s="14" t="n"/>
      <c r="K28" s="2" t="n"/>
      <c r="L28" s="2" t="n"/>
      <c r="M28" s="2" t="n"/>
      <c r="N28" s="2" t="n"/>
      <c r="O28" s="2" t="n"/>
      <c r="P28" s="2" t="n"/>
    </row>
    <row r="29" ht="15.6" customHeight="1" thickTop="1">
      <c r="D29" s="21" t="inlineStr">
        <is>
          <t>TOTAL</t>
        </is>
      </c>
      <c r="E29" s="14" t="n"/>
      <c r="F29" s="14" t="n"/>
      <c r="G29" s="14" t="n"/>
      <c r="H29" s="14" t="n"/>
      <c r="I29" s="14" t="n"/>
      <c r="J29" s="14" t="n"/>
      <c r="K29" s="2" t="n"/>
      <c r="L29" s="2" t="n"/>
      <c r="M29" s="2" t="n"/>
      <c r="N29" s="2" t="n"/>
      <c r="O29" s="2" t="n"/>
      <c r="P29" s="2" t="n"/>
    </row>
    <row r="30">
      <c r="D30" s="14" t="n"/>
      <c r="E30" s="14" t="n"/>
      <c r="F30" s="14" t="n"/>
      <c r="G30" s="14" t="n"/>
      <c r="H30" s="14" t="n"/>
      <c r="I30" s="14" t="n"/>
      <c r="J30" s="14" t="n"/>
      <c r="K30" s="2" t="n"/>
      <c r="L30" s="2" t="n"/>
      <c r="M30" s="2" t="n"/>
      <c r="N30" s="2" t="n"/>
      <c r="O30" s="2" t="n"/>
      <c r="P30" s="2" t="n"/>
    </row>
    <row r="31" ht="16.2" customHeight="1">
      <c r="B31" s="74" t="inlineStr">
        <is>
          <t>B.</t>
        </is>
      </c>
      <c r="D31" s="83" t="inlineStr">
        <is>
          <t>Hypothèses par scénario</t>
        </is>
      </c>
    </row>
    <row r="32"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 ht="15.6" customHeight="1" thickBot="1">
      <c r="D33" s="22" t="inlineStr">
        <is>
          <t>Hypothèse</t>
        </is>
      </c>
      <c r="E33" s="22" t="inlineStr">
        <is>
          <t>Unité</t>
        </is>
      </c>
      <c r="F33" s="22" t="inlineStr">
        <is>
          <t>Scénario Bas</t>
        </is>
      </c>
      <c r="G33" s="22" t="inlineStr">
        <is>
          <t>Scénario Central</t>
        </is>
      </c>
      <c r="H33" s="22" t="inlineStr">
        <is>
          <t>Scénario Haut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D34" s="2" t="inlineStr">
        <is>
          <t>Croissance annuelle effectifs publics</t>
        </is>
      </c>
      <c r="E34" s="2" t="inlineStr">
        <is>
          <t>% p.a.</t>
        </is>
      </c>
      <c r="F34" s="84">
        <f>'1_Inputs&amp;Hyp'!F34</f>
        <v/>
      </c>
      <c r="G34" s="84">
        <f>'1_Inputs&amp;Hyp'!G34</f>
        <v/>
      </c>
      <c r="H34" s="84">
        <f>'1_Inputs&amp;Hyp'!H34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D35" s="2" t="inlineStr">
        <is>
          <t>Croissance annuelle effectifs finance</t>
        </is>
      </c>
      <c r="E35" s="2" t="inlineStr">
        <is>
          <t>% p.a.</t>
        </is>
      </c>
      <c r="F35" s="84">
        <f>'1_Inputs&amp;Hyp'!F35</f>
        <v/>
      </c>
      <c r="G35" s="84">
        <f>'1_Inputs&amp;Hyp'!G35</f>
        <v/>
      </c>
      <c r="H35" s="84">
        <f>'1_Inputs&amp;Hyp'!H35</f>
        <v/>
      </c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D36" s="2" t="inlineStr">
        <is>
          <t>Croissance annuelle effectifs privé hors finance</t>
        </is>
      </c>
      <c r="E36" s="2" t="inlineStr">
        <is>
          <t>% p.a.</t>
        </is>
      </c>
      <c r="F36" s="84">
        <f>'1_Inputs&amp;Hyp'!F36</f>
        <v/>
      </c>
      <c r="G36" s="84">
        <f>'1_Inputs&amp;Hyp'!G36</f>
        <v/>
      </c>
      <c r="H36" s="84">
        <f>'1_Inputs&amp;Hyp'!H36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D37" s="2" t="inlineStr">
        <is>
          <t>Croissance annuelle intensité numérique hors IA – public</t>
        </is>
      </c>
      <c r="E37" s="2" t="inlineStr">
        <is>
          <t>% p.a.</t>
        </is>
      </c>
      <c r="F37" s="84">
        <f>'1_Inputs&amp;Hyp'!F37</f>
        <v/>
      </c>
      <c r="G37" s="84">
        <f>'1_Inputs&amp;Hyp'!G37</f>
        <v/>
      </c>
      <c r="H37" s="84">
        <f>'1_Inputs&amp;Hyp'!H37</f>
        <v/>
      </c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D38" s="2" t="inlineStr">
        <is>
          <t>Croissance annuelle intensité numérique hors IA – finance</t>
        </is>
      </c>
      <c r="E38" s="2" t="inlineStr">
        <is>
          <t>% p.a.</t>
        </is>
      </c>
      <c r="F38" s="84">
        <f>'1_Inputs&amp;Hyp'!F38</f>
        <v/>
      </c>
      <c r="G38" s="84">
        <f>'1_Inputs&amp;Hyp'!G38</f>
        <v/>
      </c>
      <c r="H38" s="84">
        <f>'1_Inputs&amp;Hyp'!H38</f>
        <v/>
      </c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D39" s="2" t="inlineStr">
        <is>
          <t>Croissance annuelle intensité numérique hors IA – hors finance</t>
        </is>
      </c>
      <c r="E39" s="2" t="inlineStr">
        <is>
          <t>% p.a.</t>
        </is>
      </c>
      <c r="F39" s="84">
        <f>'1_Inputs&amp;Hyp'!F39</f>
        <v/>
      </c>
      <c r="G39" s="84">
        <f>'1_Inputs&amp;Hyp'!G39</f>
        <v/>
      </c>
      <c r="H39" s="84">
        <f>'1_Inputs&amp;Hyp'!H39</f>
        <v/>
      </c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D40" s="2" t="inlineStr">
        <is>
          <t>Surcouche IA 2035 – public</t>
        </is>
      </c>
      <c r="E40" s="2" t="inlineStr">
        <is>
          <t>%</t>
        </is>
      </c>
      <c r="F40" s="84">
        <f>'1_Inputs&amp;Hyp'!F40</f>
        <v/>
      </c>
      <c r="G40" s="84">
        <f>'1_Inputs&amp;Hyp'!G40</f>
        <v/>
      </c>
      <c r="H40" s="84">
        <f>'1_Inputs&amp;Hyp'!H40</f>
        <v/>
      </c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D41" s="2" t="inlineStr">
        <is>
          <t>Surcouche IA 2035 – finance</t>
        </is>
      </c>
      <c r="E41" s="2" t="inlineStr">
        <is>
          <t>%</t>
        </is>
      </c>
      <c r="F41" s="84">
        <f>'1_Inputs&amp;Hyp'!F41</f>
        <v/>
      </c>
      <c r="G41" s="84">
        <f>'1_Inputs&amp;Hyp'!G41</f>
        <v/>
      </c>
      <c r="H41" s="84">
        <f>'1_Inputs&amp;Hyp'!H41</f>
        <v/>
      </c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D42" s="2" t="inlineStr">
        <is>
          <t>Surcouche IA 2035 – hors finance</t>
        </is>
      </c>
      <c r="E42" s="2" t="inlineStr">
        <is>
          <t>%</t>
        </is>
      </c>
      <c r="F42" s="84">
        <f>'1_Inputs&amp;Hyp'!F42</f>
        <v/>
      </c>
      <c r="G42" s="84">
        <f>'1_Inputs&amp;Hyp'!G42</f>
        <v/>
      </c>
      <c r="H42" s="84">
        <f>'1_Inputs&amp;Hyp'!H42</f>
        <v/>
      </c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D43" s="2" t="inlineStr">
        <is>
          <t>W IT / salarié finance – 2026</t>
        </is>
      </c>
      <c r="E43" s="2" t="inlineStr">
        <is>
          <t>W</t>
        </is>
      </c>
      <c r="F43" s="17">
        <f>'1_Inputs&amp;Hyp'!F43</f>
        <v/>
      </c>
      <c r="G43" s="17">
        <f>'1_Inputs&amp;Hyp'!G43</f>
        <v/>
      </c>
      <c r="H43" s="17">
        <f>'1_Inputs&amp;Hyp'!H43</f>
        <v/>
      </c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D44" s="2" t="inlineStr">
        <is>
          <t>W IT / salarié hors finance – 2026</t>
        </is>
      </c>
      <c r="E44" s="2" t="inlineStr">
        <is>
          <t>W</t>
        </is>
      </c>
      <c r="F44" s="17">
        <f>'1_Inputs&amp;Hyp'!F44</f>
        <v/>
      </c>
      <c r="G44" s="17">
        <f>'1_Inputs&amp;Hyp'!G44</f>
        <v/>
      </c>
      <c r="H44" s="17">
        <f>'1_Inputs&amp;Hyp'!H44</f>
        <v/>
      </c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D45" s="2" t="inlineStr">
        <is>
          <t>W IT / agent public – socle non-métier DSP</t>
        </is>
      </c>
      <c r="E45" s="2" t="inlineStr">
        <is>
          <t>W</t>
        </is>
      </c>
      <c r="F45" s="17">
        <f>'1_Inputs&amp;Hyp'!F45</f>
        <v/>
      </c>
      <c r="G45" s="17">
        <f>'1_Inputs&amp;Hyp'!G45</f>
        <v/>
      </c>
      <c r="H45" s="17">
        <f>'1_Inputs&amp;Hyp'!H45</f>
        <v/>
      </c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D46" s="2" t="inlineStr">
        <is>
          <t>Part adressable Monaco – public / CHPG / DSP / MT</t>
        </is>
      </c>
      <c r="E46" s="2" t="inlineStr">
        <is>
          <t>%</t>
        </is>
      </c>
      <c r="F46" s="84">
        <f>'1_Inputs&amp;Hyp'!F46</f>
        <v/>
      </c>
      <c r="G46" s="84">
        <f>'1_Inputs&amp;Hyp'!G46</f>
        <v/>
      </c>
      <c r="H46" s="84">
        <f>'1_Inputs&amp;Hyp'!H46</f>
        <v/>
      </c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D47" s="2" t="inlineStr">
        <is>
          <t>Part adressable Monaco – finance</t>
        </is>
      </c>
      <c r="E47" s="2" t="inlineStr">
        <is>
          <t>%</t>
        </is>
      </c>
      <c r="F47" s="84">
        <f>'1_Inputs&amp;Hyp'!F47</f>
        <v/>
      </c>
      <c r="G47" s="84">
        <f>'1_Inputs&amp;Hyp'!G47</f>
        <v/>
      </c>
      <c r="H47" s="84">
        <f>'1_Inputs&amp;Hyp'!H47</f>
        <v/>
      </c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D48" s="2" t="inlineStr">
        <is>
          <t>Part adressable Monaco – privé hors finance</t>
        </is>
      </c>
      <c r="E48" s="2" t="inlineStr">
        <is>
          <t>%</t>
        </is>
      </c>
      <c r="F48" s="84">
        <f>'1_Inputs&amp;Hyp'!F48</f>
        <v/>
      </c>
      <c r="G48" s="84">
        <f>'1_Inputs&amp;Hyp'!G48</f>
        <v/>
      </c>
      <c r="H48" s="84">
        <f>'1_Inputs&amp;Hyp'!H48</f>
        <v/>
      </c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D49" s="2" t="inlineStr">
        <is>
          <t>Part adressable Monaco – surcouche IA public</t>
        </is>
      </c>
      <c r="E49" s="2" t="inlineStr">
        <is>
          <t>%</t>
        </is>
      </c>
      <c r="F49" s="84">
        <f>'1_Inputs&amp;Hyp'!F49</f>
        <v/>
      </c>
      <c r="G49" s="84">
        <f>'1_Inputs&amp;Hyp'!G49</f>
        <v/>
      </c>
      <c r="H49" s="84">
        <f>'1_Inputs&amp;Hyp'!H49</f>
        <v/>
      </c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D50" s="2" t="inlineStr">
        <is>
          <t>Part adressable Monaco – surcouche IA finance</t>
        </is>
      </c>
      <c r="E50" s="2" t="inlineStr">
        <is>
          <t>%</t>
        </is>
      </c>
      <c r="F50" s="84">
        <f>'1_Inputs&amp;Hyp'!F50</f>
        <v/>
      </c>
      <c r="G50" s="84">
        <f>'1_Inputs&amp;Hyp'!G50</f>
        <v/>
      </c>
      <c r="H50" s="84">
        <f>'1_Inputs&amp;Hyp'!H50</f>
        <v/>
      </c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D51" s="2" t="inlineStr">
        <is>
          <t>Part adressable Monaco – surcouche IA hors finance</t>
        </is>
      </c>
      <c r="E51" s="2" t="inlineStr">
        <is>
          <t>%</t>
        </is>
      </c>
      <c r="F51" s="84">
        <f>'1_Inputs&amp;Hyp'!F51</f>
        <v/>
      </c>
      <c r="G51" s="84">
        <f>'1_Inputs&amp;Hyp'!G51</f>
        <v/>
      </c>
      <c r="H51" s="84">
        <f>'1_Inputs&amp;Hyp'!H51</f>
        <v/>
      </c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 ht="16.2" customHeight="1">
      <c r="B54" s="74" t="inlineStr">
        <is>
          <t>C.</t>
        </is>
      </c>
      <c r="D54" s="83" t="inlineStr">
        <is>
          <t>Projection 2035 – besoin IT généré et demande adressable</t>
        </is>
      </c>
    </row>
    <row r="55" ht="16.2" customHeight="1"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16.2" customHeight="1">
      <c r="C56" s="74" t="inlineStr">
        <is>
          <t>1.</t>
        </is>
      </c>
      <c r="D56" s="70" t="inlineStr">
        <is>
          <t>Scénario bas</t>
        </is>
      </c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</row>
    <row r="57" ht="16.2" customHeight="1"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</row>
    <row r="58" ht="15.6" customHeight="1" thickBot="1">
      <c r="D58" s="22" t="inlineStr">
        <is>
          <t>Bloc</t>
        </is>
      </c>
      <c r="E58" s="22" t="inlineStr">
        <is>
          <t>Baseline 2026</t>
        </is>
      </c>
      <c r="F58" s="22" t="inlineStr">
        <is>
          <t>Croissance activité / effectifs</t>
        </is>
      </c>
      <c r="G58" s="22" t="inlineStr">
        <is>
          <t>Croissance intensité</t>
        </is>
      </c>
      <c r="H58" s="22" t="inlineStr">
        <is>
          <t>Facteur de croissance métier</t>
        </is>
      </c>
      <c r="I58" s="22" t="inlineStr">
        <is>
          <t>Besoin hors IA 2035</t>
        </is>
      </c>
      <c r="J58" s="22" t="inlineStr">
        <is>
          <t>Surcouche IA</t>
        </is>
      </c>
      <c r="K58" s="22" t="inlineStr">
        <is>
          <t>Besoin IA</t>
        </is>
      </c>
      <c r="L58" s="22" t="inlineStr">
        <is>
          <t>Besoin total 2035</t>
        </is>
      </c>
      <c r="M58" s="22" t="inlineStr">
        <is>
          <t>Adressable socle [%]</t>
        </is>
      </c>
      <c r="N58" s="22" t="inlineStr">
        <is>
          <t>Adressable IA [%]</t>
        </is>
      </c>
      <c r="O58" s="22" t="inlineStr">
        <is>
          <t>Demande adressable 2035 [kW IT]</t>
        </is>
      </c>
      <c r="P58" s="22" t="inlineStr">
        <is>
          <t>Demande adressable 2035 [MW IT]</t>
        </is>
      </c>
    </row>
    <row r="59">
      <c r="D59" s="2" t="inlineStr">
        <is>
          <t>DSP</t>
        </is>
      </c>
      <c r="E59" s="85">
        <f>F$9</f>
        <v/>
      </c>
      <c r="F59" s="38">
        <f>(1+_xlfn.XLOOKUP($D$56,$F$33:$H$33,$F$34:$H$34))^9</f>
        <v/>
      </c>
      <c r="G59" s="38">
        <f>(1+_xlfn.XLOOKUP($D$56,$F$33:$H$33,$F$37:$H$37))^9</f>
        <v/>
      </c>
      <c r="H59" s="86">
        <f>('1_Inputs&amp;Hyp'!F59/'1_Inputs&amp;Hyp'!F57)*'1_Inputs&amp;Hyp'!F62</f>
        <v/>
      </c>
      <c r="I59" s="85">
        <f>H$9*F59*G59+G$9*H59*1.1</f>
        <v/>
      </c>
      <c r="J59" s="38">
        <f>_xlfn.XLOOKUP($D$56,$F$33:$H$33,$F$40:$H$40)</f>
        <v/>
      </c>
      <c r="K59" s="85">
        <f>I59*J59</f>
        <v/>
      </c>
      <c r="L59" s="85">
        <f>I59+K59</f>
        <v/>
      </c>
      <c r="M59" s="38">
        <f>_xlfn.XLOOKUP($D$56,$F$33:$H$33,$F$46:$H$46)</f>
        <v/>
      </c>
      <c r="N59" s="38">
        <f>_xlfn.XLOOKUP($D$56,$F$33:$H$33,$F$49:$H$49)</f>
        <v/>
      </c>
      <c r="O59" s="85">
        <f>I59*M59+K59*N59</f>
        <v/>
      </c>
      <c r="P59" s="4">
        <f>O59/1000</f>
        <v/>
      </c>
      <c r="R59" s="87">
        <f>O59</f>
        <v/>
      </c>
    </row>
    <row r="60">
      <c r="D60" s="2" t="inlineStr">
        <is>
          <t>DENJS</t>
        </is>
      </c>
      <c r="E60" s="85">
        <f>F$10</f>
        <v/>
      </c>
      <c r="F60" s="38">
        <f>(1+_xlfn.XLOOKUP($D$56,$F$33:$H$33,$F$34:$H$34))^9</f>
        <v/>
      </c>
      <c r="G60" s="38">
        <f>(1+_xlfn.XLOOKUP($D$56,$F$33:$H$33,$F$37:$H$37))^9</f>
        <v/>
      </c>
      <c r="H60" s="88" t="n">
        <v>1</v>
      </c>
      <c r="I60" s="85">
        <f>E60*F60*G60</f>
        <v/>
      </c>
      <c r="J60" s="38">
        <f>_xlfn.XLOOKUP($D$56,$F$33:$H$33,$F$40:$H$40)</f>
        <v/>
      </c>
      <c r="K60" s="85">
        <f>I60*J60</f>
        <v/>
      </c>
      <c r="L60" s="85">
        <f>I60+K60</f>
        <v/>
      </c>
      <c r="M60" s="38">
        <f>_xlfn.XLOOKUP($D$56,$F$33:$H$33,$F$46:$H$46)</f>
        <v/>
      </c>
      <c r="N60" s="38">
        <f>_xlfn.XLOOKUP($D$56,$F$33:$H$33,$F$49:$H$49)</f>
        <v/>
      </c>
      <c r="O60" s="85">
        <f>I60*M60+K60*N60</f>
        <v/>
      </c>
      <c r="P60" s="4">
        <f>O60/1000</f>
        <v/>
      </c>
      <c r="R60" s="89">
        <f>O60+O61+O62</f>
        <v/>
      </c>
    </row>
    <row r="61">
      <c r="D61" s="2" t="inlineStr">
        <is>
          <t>APDP</t>
        </is>
      </c>
      <c r="E61" s="85">
        <f>F$11</f>
        <v/>
      </c>
      <c r="F61" s="38">
        <f>(1+_xlfn.XLOOKUP($D$56,$F$33:$H$33,$F$34:$H$34))^9</f>
        <v/>
      </c>
      <c r="G61" s="38">
        <f>(1+_xlfn.XLOOKUP($D$56,$F$33:$H$33,$F$37:$H$37))^9</f>
        <v/>
      </c>
      <c r="H61" s="88" t="n">
        <v>1</v>
      </c>
      <c r="I61" s="85">
        <f>E61*F61*G61</f>
        <v/>
      </c>
      <c r="J61" s="38">
        <f>_xlfn.XLOOKUP($D$56,$F$33:$H$33,$F$40:$H$40)</f>
        <v/>
      </c>
      <c r="K61" s="85">
        <f>I61*J61</f>
        <v/>
      </c>
      <c r="L61" s="85">
        <f>I61+K61</f>
        <v/>
      </c>
      <c r="M61" s="38">
        <f>_xlfn.XLOOKUP($D$56,$F$33:$H$33,$F$46:$H$46)</f>
        <v/>
      </c>
      <c r="N61" s="38">
        <f>_xlfn.XLOOKUP($D$56,$F$33:$H$33,$F$49:$H$49)</f>
        <v/>
      </c>
      <c r="O61" s="85">
        <f>I61*M61+K61*N61</f>
        <v/>
      </c>
      <c r="P61" s="4">
        <f>O61/1000</f>
        <v/>
      </c>
      <c r="R61" s="87">
        <f>O63</f>
        <v/>
      </c>
    </row>
    <row r="62">
      <c r="D62" s="2" t="inlineStr">
        <is>
          <t>DITN</t>
        </is>
      </c>
      <c r="E62" s="85">
        <f>F$12</f>
        <v/>
      </c>
      <c r="F62" s="38">
        <f>(1+_xlfn.XLOOKUP($D$56,$F$33:$H$33,$F$34:$H$34))^9</f>
        <v/>
      </c>
      <c r="G62" s="38">
        <f>(1+_xlfn.XLOOKUP($D$56,$F$33:$H$33,$F$37:$H$37))^9</f>
        <v/>
      </c>
      <c r="H62" s="88" t="n">
        <v>1</v>
      </c>
      <c r="I62" s="85">
        <f>E62*F62*G62</f>
        <v/>
      </c>
      <c r="J62" s="38">
        <f>_xlfn.XLOOKUP($D$56,$F$33:$H$33,$F$40:$H$40)</f>
        <v/>
      </c>
      <c r="K62" s="85">
        <f>I62*J62</f>
        <v/>
      </c>
      <c r="L62" s="85">
        <f>I62+K62</f>
        <v/>
      </c>
      <c r="M62" s="38">
        <f>_xlfn.XLOOKUP($D$56,$F$33:$H$33,$F$46:$H$46)</f>
        <v/>
      </c>
      <c r="N62" s="38">
        <f>_xlfn.XLOOKUP($D$56,$F$33:$H$33,$F$49:$H$49)</f>
        <v/>
      </c>
      <c r="O62" s="85">
        <f>I62*M62+K62*N62</f>
        <v/>
      </c>
      <c r="P62" s="4">
        <f>O62/1000</f>
        <v/>
      </c>
      <c r="R62" s="87">
        <f>O64</f>
        <v/>
      </c>
    </row>
    <row r="63">
      <c r="D63" s="2" t="inlineStr">
        <is>
          <t>CHPG</t>
        </is>
      </c>
      <c r="E63" s="85">
        <f>F$13</f>
        <v/>
      </c>
      <c r="F63" s="38">
        <f>(1+_xlfn.XLOOKUP(D56,'1_Inputs&amp;Hyp'!$F$66:$H$66,'1_Inputs&amp;Hyp'!$F$67:$H$67))^9</f>
        <v/>
      </c>
      <c r="G63" s="38">
        <f>(1+_xlfn.XLOOKUP($D$56,$F$33:$H$33,$F$37:$H$37))^9</f>
        <v/>
      </c>
      <c r="H63" s="86">
        <f>(1+_xlfn.XLOOKUP(D56,'1_Inputs&amp;Hyp'!$F$66:$H$66,'1_Inputs&amp;Hyp'!$F$68:$H$68))^9</f>
        <v/>
      </c>
      <c r="I63" s="85">
        <f>H$13*F63*G63+G$13*H63</f>
        <v/>
      </c>
      <c r="J63" s="38">
        <f>_xlfn.XLOOKUP($D$56,$F$33:$H$33,$F$40:$H$40)</f>
        <v/>
      </c>
      <c r="K63" s="85">
        <f>I63*J63</f>
        <v/>
      </c>
      <c r="L63" s="85">
        <f>I63+K63</f>
        <v/>
      </c>
      <c r="M63" s="38">
        <f>_xlfn.XLOOKUP($D$56,$F$33:$H$33,$F$46:$H$46)</f>
        <v/>
      </c>
      <c r="N63" s="38">
        <f>_xlfn.XLOOKUP($D$56,$F$33:$H$33,$F$49:$H$49)</f>
        <v/>
      </c>
      <c r="O63" s="85">
        <f>I63*M63+K63*N63</f>
        <v/>
      </c>
      <c r="P63" s="4">
        <f>O63/1000</f>
        <v/>
      </c>
      <c r="R63" s="87">
        <f>O65</f>
        <v/>
      </c>
    </row>
    <row r="64">
      <c r="D64" s="2" t="inlineStr">
        <is>
          <t>Monaco Telecom</t>
        </is>
      </c>
      <c r="E64" s="85">
        <f>F$14</f>
        <v/>
      </c>
      <c r="F64" s="38">
        <f>(1+_xlfn.XLOOKUP($D$56,$F$33:$H$33,$F$36:$H$36))^9</f>
        <v/>
      </c>
      <c r="G64" s="38">
        <f>(1+_xlfn.XLOOKUP($D$56,$F$33:$H$33,$F$39:$H$39))^9</f>
        <v/>
      </c>
      <c r="H64" s="88" t="n">
        <v>1</v>
      </c>
      <c r="I64" s="85">
        <f>E64*F64*G64</f>
        <v/>
      </c>
      <c r="J64" s="38">
        <f>_xlfn.XLOOKUP($D$56,$F$33:$H$33,$F$42:$H$42)</f>
        <v/>
      </c>
      <c r="K64" s="85">
        <f>I64*J64</f>
        <v/>
      </c>
      <c r="L64" s="85">
        <f>I64+K64</f>
        <v/>
      </c>
      <c r="M64" s="38">
        <f>_xlfn.XLOOKUP($D$56,$F$33:$H$33,$F$46:$H$46)</f>
        <v/>
      </c>
      <c r="N64" s="38">
        <f>_xlfn.XLOOKUP($D$56,$F$33:$H$33,$F$51:$H$51)</f>
        <v/>
      </c>
      <c r="O64" s="85">
        <f>I64*M64+K64*N64</f>
        <v/>
      </c>
      <c r="P64" s="4">
        <f>O64/1000</f>
        <v/>
      </c>
      <c r="R64" s="87">
        <f>O66</f>
        <v/>
      </c>
    </row>
    <row r="65">
      <c r="D65" s="2" t="inlineStr">
        <is>
          <t>Finance</t>
        </is>
      </c>
      <c r="E65" s="85">
        <f>F$15</f>
        <v/>
      </c>
      <c r="F65" s="38">
        <f>(1+_xlfn.XLOOKUP($D$56,$F$33:$H$33,$F$35:$H$35))^9</f>
        <v/>
      </c>
      <c r="G65" s="38">
        <f>(1+_xlfn.XLOOKUP($D$56,$F$33:$H$33,$F$38:$H$38))^9</f>
        <v/>
      </c>
      <c r="H65" s="88" t="n">
        <v>1</v>
      </c>
      <c r="I65" s="85">
        <f>IF(E65&gt;0,E65*F65*G65,0)</f>
        <v/>
      </c>
      <c r="J65" s="38">
        <f>_xlfn.XLOOKUP($D$56,$F$33:$H$33,$F$41:$H$41)</f>
        <v/>
      </c>
      <c r="K65" s="85">
        <f>I65*J65</f>
        <v/>
      </c>
      <c r="L65" s="85">
        <f>I65+K65</f>
        <v/>
      </c>
      <c r="M65" s="38">
        <f>_xlfn.XLOOKUP($D$56,$F$33:$H$33,$F$47:$H$47)</f>
        <v/>
      </c>
      <c r="N65" s="38">
        <f>_xlfn.XLOOKUP($D$56,$F$33:$H$33,$F$50:$H$50)</f>
        <v/>
      </c>
      <c r="O65" s="85">
        <f>I65*M65+K65*N65</f>
        <v/>
      </c>
      <c r="P65" s="4">
        <f>O65/1000</f>
        <v/>
      </c>
      <c r="R65" s="87" t="n"/>
    </row>
    <row r="66">
      <c r="D66" s="2" t="inlineStr">
        <is>
          <t>Privé hors finance</t>
        </is>
      </c>
      <c r="E66" s="85">
        <f>F$16</f>
        <v/>
      </c>
      <c r="F66" s="38">
        <f>(1+_xlfn.XLOOKUP($D$56,$F$33:$H$33,$F$36:$H$36))^9</f>
        <v/>
      </c>
      <c r="G66" s="38">
        <f>(1+_xlfn.XLOOKUP($D$56,$F$33:$H$33,$F$39:$H$39))^9</f>
        <v/>
      </c>
      <c r="H66" s="88" t="n">
        <v>1</v>
      </c>
      <c r="I66" s="85">
        <f>E66*F66*G66</f>
        <v/>
      </c>
      <c r="J66" s="38">
        <f>_xlfn.XLOOKUP($D$56,$F$33:$H$33,$F$42:$H$42)</f>
        <v/>
      </c>
      <c r="K66" s="85">
        <f>I66*J66</f>
        <v/>
      </c>
      <c r="L66" s="85">
        <f>I66+K66</f>
        <v/>
      </c>
      <c r="M66" s="38">
        <f>_xlfn.XLOOKUP($D$56,$F$33:$H$33,$F$48:$H$48)</f>
        <v/>
      </c>
      <c r="N66" s="38">
        <f>_xlfn.XLOOKUP($D$56,$F$33:$H$33,$F$51:$H$51)</f>
        <v/>
      </c>
      <c r="O66" s="85">
        <f>ROUND(I66*M66+K66*N66,0)</f>
        <v/>
      </c>
      <c r="P66" s="4">
        <f>O66/1000</f>
        <v/>
      </c>
      <c r="R66" s="87" t="n"/>
    </row>
    <row r="67">
      <c r="D67" s="2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4" t="n"/>
    </row>
    <row r="68">
      <c r="D68" s="5" t="inlineStr">
        <is>
          <t>TOTAL</t>
        </is>
      </c>
      <c r="E68" s="90">
        <f>SUM(E59:E66)</f>
        <v/>
      </c>
      <c r="F68" s="90" t="n"/>
      <c r="G68" s="90" t="n"/>
      <c r="H68" s="90" t="n"/>
      <c r="I68" s="90">
        <f>SUM(I59:I66)</f>
        <v/>
      </c>
      <c r="J68" s="90" t="n"/>
      <c r="K68" s="90">
        <f>SUM(K59:K66)</f>
        <v/>
      </c>
      <c r="L68" s="90">
        <f>SUM(L59:L66)</f>
        <v/>
      </c>
      <c r="M68" s="90" t="n"/>
      <c r="N68" s="90" t="n"/>
      <c r="O68" s="90">
        <f>SUM(O59:O66)</f>
        <v/>
      </c>
      <c r="P68" s="90">
        <f>SUM(P59:P66)</f>
        <v/>
      </c>
    </row>
    <row r="69"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 ht="16.2" customHeight="1">
      <c r="C71" s="74" t="inlineStr">
        <is>
          <t>2.</t>
        </is>
      </c>
      <c r="D71" s="70" t="inlineStr">
        <is>
          <t>Scénario central</t>
        </is>
      </c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70" t="n"/>
      <c r="P71" s="70" t="n"/>
    </row>
    <row r="72" ht="16.2" customHeight="1"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</row>
    <row r="73" ht="15.6" customHeight="1" thickBot="1">
      <c r="D73" s="22" t="inlineStr">
        <is>
          <t>Bloc</t>
        </is>
      </c>
      <c r="E73" s="22" t="inlineStr">
        <is>
          <t>Baseline 2026</t>
        </is>
      </c>
      <c r="F73" s="22" t="inlineStr">
        <is>
          <t>Croissance activité / effectifs</t>
        </is>
      </c>
      <c r="G73" s="22" t="inlineStr">
        <is>
          <t>Croissance intensité</t>
        </is>
      </c>
      <c r="H73" s="22" t="inlineStr">
        <is>
          <t>Facteur de croissance métier</t>
        </is>
      </c>
      <c r="I73" s="22" t="inlineStr">
        <is>
          <t>Besoin hors IA 2035</t>
        </is>
      </c>
      <c r="J73" s="22" t="inlineStr">
        <is>
          <t>Surcouche IA</t>
        </is>
      </c>
      <c r="K73" s="22" t="inlineStr">
        <is>
          <t>Besoin IA</t>
        </is>
      </c>
      <c r="L73" s="22" t="inlineStr">
        <is>
          <t>Besoin total 2035</t>
        </is>
      </c>
      <c r="M73" s="22" t="inlineStr">
        <is>
          <t>Adressable socle [%]</t>
        </is>
      </c>
      <c r="N73" s="22" t="inlineStr">
        <is>
          <t>Adressable IA [%]</t>
        </is>
      </c>
      <c r="O73" s="22" t="inlineStr">
        <is>
          <t>Demande adressable 2035 [kW IT]</t>
        </is>
      </c>
      <c r="P73" s="22" t="inlineStr">
        <is>
          <t>Demande adressable 2035 [MW IT]</t>
        </is>
      </c>
    </row>
    <row r="74">
      <c r="D74" s="2" t="inlineStr">
        <is>
          <t>DSP</t>
        </is>
      </c>
      <c r="E74" s="85">
        <f>F$9</f>
        <v/>
      </c>
      <c r="F74" s="38">
        <f>(1+_xlfn.XLOOKUP($D$71,$F$33:$H$33,$F$34:$H$34))^9</f>
        <v/>
      </c>
      <c r="G74" s="38">
        <f>(1+_xlfn.XLOOKUP($D$71,$F$33:$H$33,$F$37:$H$37))^9</f>
        <v/>
      </c>
      <c r="H74" s="91">
        <f>('1_Inputs&amp;Hyp'!F59/'1_Inputs&amp;Hyp'!F57)*'1_Inputs&amp;Hyp'!F62</f>
        <v/>
      </c>
      <c r="I74" s="85">
        <f>H$9*F74*G74+G$9*H74</f>
        <v/>
      </c>
      <c r="J74" s="38">
        <f>_xlfn.XLOOKUP($D$71,$F$33:$H$33,$F$40:$H$40)</f>
        <v/>
      </c>
      <c r="K74" s="85">
        <f>I74*J74</f>
        <v/>
      </c>
      <c r="L74" s="85">
        <f>I74+K74</f>
        <v/>
      </c>
      <c r="M74" s="38">
        <f>_xlfn.XLOOKUP($D$71,$F$33:$H$33,$F$46:$H$46)</f>
        <v/>
      </c>
      <c r="N74" s="38">
        <f>_xlfn.XLOOKUP($D$71,$F$33:$H$33,$F$49:$H$49)</f>
        <v/>
      </c>
      <c r="O74" s="85">
        <f>I74*M74+K74*N74</f>
        <v/>
      </c>
      <c r="P74" s="4">
        <f>O74/1000</f>
        <v/>
      </c>
      <c r="R74" s="87">
        <f>O74</f>
        <v/>
      </c>
    </row>
    <row r="75">
      <c r="D75" s="2" t="inlineStr">
        <is>
          <t>DENJS</t>
        </is>
      </c>
      <c r="E75" s="85">
        <f>F$10</f>
        <v/>
      </c>
      <c r="F75" s="38">
        <f>(1+_xlfn.XLOOKUP($D$71,$F$33:$H$33,$F$34:$H$34))^9</f>
        <v/>
      </c>
      <c r="G75" s="38">
        <f>(1+_xlfn.XLOOKUP($D$71,$F$33:$H$33,$F$37:$H$37))^9</f>
        <v/>
      </c>
      <c r="H75" s="88" t="n">
        <v>1</v>
      </c>
      <c r="I75" s="85">
        <f>E75*F75*G75</f>
        <v/>
      </c>
      <c r="J75" s="38">
        <f>_xlfn.XLOOKUP($D$71,$F$33:$H$33,$F$40:$H$40)</f>
        <v/>
      </c>
      <c r="K75" s="85">
        <f>I75*J75</f>
        <v/>
      </c>
      <c r="L75" s="85">
        <f>I75+K75</f>
        <v/>
      </c>
      <c r="M75" s="38">
        <f>_xlfn.XLOOKUP($D$71,$F$33:$H$33,$F$46:$H$46)</f>
        <v/>
      </c>
      <c r="N75" s="38">
        <f>_xlfn.XLOOKUP($D$71,$F$33:$H$33,$F$49:$H$49)</f>
        <v/>
      </c>
      <c r="O75" s="85">
        <f>I75*M75+K75*N75</f>
        <v/>
      </c>
      <c r="P75" s="4">
        <f>O75/1000</f>
        <v/>
      </c>
      <c r="R75" s="89">
        <f>O75+O76+O77</f>
        <v/>
      </c>
    </row>
    <row r="76">
      <c r="D76" s="2" t="inlineStr">
        <is>
          <t>APDP</t>
        </is>
      </c>
      <c r="E76" s="85">
        <f>F$11</f>
        <v/>
      </c>
      <c r="F76" s="38">
        <f>(1+_xlfn.XLOOKUP($D$71,$F$33:$H$33,$F$34:$H$34))^9</f>
        <v/>
      </c>
      <c r="G76" s="38">
        <f>(1+_xlfn.XLOOKUP($D$71,$F$33:$H$33,$F$37:$H$37))^9</f>
        <v/>
      </c>
      <c r="H76" s="88" t="n">
        <v>1</v>
      </c>
      <c r="I76" s="85">
        <f>E76*F76*G76</f>
        <v/>
      </c>
      <c r="J76" s="38">
        <f>_xlfn.XLOOKUP($D$71,$F$33:$H$33,$F$40:$H$40)</f>
        <v/>
      </c>
      <c r="K76" s="85">
        <f>I76*J76</f>
        <v/>
      </c>
      <c r="L76" s="85">
        <f>I76+K76</f>
        <v/>
      </c>
      <c r="M76" s="38">
        <f>_xlfn.XLOOKUP($D$71,$F$33:$H$33,$F$46:$H$46)</f>
        <v/>
      </c>
      <c r="N76" s="38">
        <f>_xlfn.XLOOKUP($D$71,$F$33:$H$33,$F$49:$H$49)</f>
        <v/>
      </c>
      <c r="O76" s="85">
        <f>I76*M76+K76*N76</f>
        <v/>
      </c>
      <c r="P76" s="4">
        <f>O76/1000</f>
        <v/>
      </c>
      <c r="R76" s="87">
        <f>O78</f>
        <v/>
      </c>
    </row>
    <row r="77">
      <c r="D77" s="2" t="inlineStr">
        <is>
          <t>DITN</t>
        </is>
      </c>
      <c r="E77" s="85">
        <f>F$12</f>
        <v/>
      </c>
      <c r="F77" s="38">
        <f>(1+_xlfn.XLOOKUP($D$71,$F$33:$H$33,$F$34:$H$34))^9</f>
        <v/>
      </c>
      <c r="G77" s="38">
        <f>(1+_xlfn.XLOOKUP($D$71,$F$33:$H$33,$F$37:$H$37))^9</f>
        <v/>
      </c>
      <c r="H77" s="88" t="n">
        <v>1</v>
      </c>
      <c r="I77" s="85">
        <f>E77*F77*G77</f>
        <v/>
      </c>
      <c r="J77" s="38">
        <f>_xlfn.XLOOKUP($D$71,$F$33:$H$33,$F$40:$H$40)</f>
        <v/>
      </c>
      <c r="K77" s="85">
        <f>I77*J77</f>
        <v/>
      </c>
      <c r="L77" s="85">
        <f>I77+K77</f>
        <v/>
      </c>
      <c r="M77" s="38">
        <f>_xlfn.XLOOKUP($D$71,$F$33:$H$33,$F$46:$H$46)</f>
        <v/>
      </c>
      <c r="N77" s="38">
        <f>_xlfn.XLOOKUP($D$71,$F$33:$H$33,$F$49:$H$49)</f>
        <v/>
      </c>
      <c r="O77" s="85">
        <f>I77*M77+K77*N77</f>
        <v/>
      </c>
      <c r="P77" s="4">
        <f>O77/1000</f>
        <v/>
      </c>
      <c r="R77" s="87">
        <f>O79</f>
        <v/>
      </c>
    </row>
    <row r="78">
      <c r="D78" s="2" t="inlineStr">
        <is>
          <t>CHPG</t>
        </is>
      </c>
      <c r="E78" s="85">
        <f>F$13</f>
        <v/>
      </c>
      <c r="F78" s="38">
        <f>(1+_xlfn.XLOOKUP(D71,'1_Inputs&amp;Hyp'!$F$66:$H$66,'1_Inputs&amp;Hyp'!$F$67:$H$67))^9</f>
        <v/>
      </c>
      <c r="G78" s="38">
        <f>(1+_xlfn.XLOOKUP($D$71,$F$33:$H$33,$F$37:$H$37))^9</f>
        <v/>
      </c>
      <c r="H78" s="86">
        <f>(1+_xlfn.XLOOKUP(D71,'1_Inputs&amp;Hyp'!$F$66:$H$66,'1_Inputs&amp;Hyp'!$F$68:$H$68))^9</f>
        <v/>
      </c>
      <c r="I78" s="85">
        <f>H$13*F78*G78+G$13*H78</f>
        <v/>
      </c>
      <c r="J78" s="38">
        <f>_xlfn.XLOOKUP($D$71,$F$33:$H$33,$F$40:$H$40)</f>
        <v/>
      </c>
      <c r="K78" s="85">
        <f>I78*J78</f>
        <v/>
      </c>
      <c r="L78" s="85">
        <f>I78+K78</f>
        <v/>
      </c>
      <c r="M78" s="38">
        <f>_xlfn.XLOOKUP($D$71,$F$33:$H$33,$F$46:$H$46)</f>
        <v/>
      </c>
      <c r="N78" s="38">
        <f>_xlfn.XLOOKUP($D$71,$F$33:$H$33,$F$49:$H$49)</f>
        <v/>
      </c>
      <c r="O78" s="85">
        <f>I78*M78+K78*N78</f>
        <v/>
      </c>
      <c r="P78" s="4">
        <f>O78/1000</f>
        <v/>
      </c>
      <c r="R78" s="87">
        <f>O80</f>
        <v/>
      </c>
    </row>
    <row r="79">
      <c r="D79" s="2" t="inlineStr">
        <is>
          <t>Monaco Telecom</t>
        </is>
      </c>
      <c r="E79" s="85">
        <f>F$14</f>
        <v/>
      </c>
      <c r="F79" s="38">
        <f>(1+_xlfn.XLOOKUP($D$71,$F$33:$H$33,$F$36:$H$36))^9</f>
        <v/>
      </c>
      <c r="G79" s="38">
        <f>(1+_xlfn.XLOOKUP($D$71,$F$33:$H$33,$F$39:$H$39))^9</f>
        <v/>
      </c>
      <c r="H79" s="88" t="n">
        <v>1</v>
      </c>
      <c r="I79" s="85">
        <f>E79*F79*G79</f>
        <v/>
      </c>
      <c r="J79" s="38">
        <f>_xlfn.XLOOKUP($D$71,$F$33:$H$33,$F$42:$H$42)</f>
        <v/>
      </c>
      <c r="K79" s="85">
        <f>I79*J79</f>
        <v/>
      </c>
      <c r="L79" s="85">
        <f>I79+K79</f>
        <v/>
      </c>
      <c r="M79" s="38">
        <f>_xlfn.XLOOKUP($D$71,$F$33:$H$33,$F$46:$H$46)</f>
        <v/>
      </c>
      <c r="N79" s="38">
        <f>_xlfn.XLOOKUP($D$71,$F$33:$H$33,$F$51:$H$51)</f>
        <v/>
      </c>
      <c r="O79" s="85">
        <f>I79*M79+K79*N79</f>
        <v/>
      </c>
      <c r="P79" s="4">
        <f>O79/1000</f>
        <v/>
      </c>
      <c r="R79" s="87">
        <f>O81</f>
        <v/>
      </c>
    </row>
    <row r="80">
      <c r="D80" s="2" t="inlineStr">
        <is>
          <t>Finance</t>
        </is>
      </c>
      <c r="E80" s="85">
        <f>F$15</f>
        <v/>
      </c>
      <c r="F80" s="38">
        <f>(1+_xlfn.XLOOKUP($D$71,$F$33:$H$33,$F$35:$H$35))^9</f>
        <v/>
      </c>
      <c r="G80" s="38">
        <f>(1+_xlfn.XLOOKUP($D$71,$F$33:$H$33,$F$38:$H$38))^9</f>
        <v/>
      </c>
      <c r="H80" s="88" t="n">
        <v>1</v>
      </c>
      <c r="I80" s="85">
        <f>E80*F80*G80</f>
        <v/>
      </c>
      <c r="J80" s="38">
        <f>_xlfn.XLOOKUP($D$71,$F$33:$H$33,$F$41:$H$41)</f>
        <v/>
      </c>
      <c r="K80" s="85">
        <f>MAX(I80*J80,0)+MIN(1,2)-1</f>
        <v/>
      </c>
      <c r="L80" s="85">
        <f>I80+K80</f>
        <v/>
      </c>
      <c r="M80" s="38">
        <f>_xlfn.XLOOKUP($D$71,$F$33:$H$33,$F$47:$H$47)</f>
        <v/>
      </c>
      <c r="N80" s="38">
        <f>_xlfn.XLOOKUP($D$71,$F$33:$H$33,$F$50:$H$50)</f>
        <v/>
      </c>
      <c r="O80" s="85">
        <f>I80*M80+K80*N80</f>
        <v/>
      </c>
      <c r="P80" s="4">
        <f>O80/1000</f>
        <v/>
      </c>
    </row>
    <row r="81">
      <c r="D81" s="2" t="inlineStr">
        <is>
          <t>Privé hors finance</t>
        </is>
      </c>
      <c r="E81" s="85">
        <f>F$16</f>
        <v/>
      </c>
      <c r="F81" s="38">
        <f>(1+_xlfn.XLOOKUP($D$71,$F$33:$H$33,$F$36:$H$36))^9</f>
        <v/>
      </c>
      <c r="G81" s="38">
        <f>(1+_xlfn.XLOOKUP($D$71,$F$33:$H$33,$F$39:$H$39))^9</f>
        <v/>
      </c>
      <c r="H81" s="88" t="n">
        <v>1</v>
      </c>
      <c r="I81" s="85">
        <f>E81*F81*G81</f>
        <v/>
      </c>
      <c r="J81" s="38">
        <f>_xlfn.XLOOKUP($D$71,$F$33:$H$33,$F$42:$H$42)</f>
        <v/>
      </c>
      <c r="K81" s="85">
        <f>I81*J81</f>
        <v/>
      </c>
      <c r="L81" s="85">
        <f>I81+K81</f>
        <v/>
      </c>
      <c r="M81" s="38">
        <f>_xlfn.XLOOKUP($D$71,$F$33:$H$33,$F$48:$H$48)</f>
        <v/>
      </c>
      <c r="N81" s="38">
        <f>_xlfn.XLOOKUP($D$71,$F$33:$H$33,$F$51:$H$51)</f>
        <v/>
      </c>
      <c r="O81" s="85">
        <f>I81*M81+K81*N81</f>
        <v/>
      </c>
      <c r="P81" s="4">
        <f>O81/1000</f>
        <v/>
      </c>
    </row>
    <row r="82">
      <c r="D82" s="2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4" t="n"/>
    </row>
    <row r="83">
      <c r="D83" s="5" t="inlineStr">
        <is>
          <t>TOTAL</t>
        </is>
      </c>
      <c r="E83" s="90">
        <f>SUM(E74:E81)</f>
        <v/>
      </c>
      <c r="F83" s="90" t="n"/>
      <c r="G83" s="90" t="n"/>
      <c r="H83" s="90" t="n"/>
      <c r="I83" s="90">
        <f>SUM(I74:I81)</f>
        <v/>
      </c>
      <c r="J83" s="90" t="n"/>
      <c r="K83" s="90">
        <f>SUM(K74:K81)</f>
        <v/>
      </c>
      <c r="L83" s="90">
        <f>SUM(L74:L81)</f>
        <v/>
      </c>
      <c r="M83" s="90" t="n"/>
      <c r="N83" s="90" t="n"/>
      <c r="O83" s="90">
        <f>SUM(O74:O81)</f>
        <v/>
      </c>
      <c r="P83" s="90">
        <f>SUM(P74:P81)</f>
        <v/>
      </c>
    </row>
    <row r="84">
      <c r="D84" s="36" t="n"/>
      <c r="E84" s="92" t="n"/>
      <c r="F84" s="92" t="n"/>
      <c r="G84" s="92" t="n"/>
      <c r="H84" s="92" t="n"/>
      <c r="I84" s="92" t="n"/>
      <c r="J84" s="92" t="n"/>
      <c r="K84" s="92" t="n"/>
      <c r="L84" s="92" t="n"/>
      <c r="M84" s="92" t="n"/>
      <c r="N84" s="92" t="n"/>
      <c r="O84" s="92" t="n"/>
      <c r="P84" s="92" t="n"/>
    </row>
    <row r="85"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 ht="16.2" customHeight="1">
      <c r="C86" s="74" t="inlineStr">
        <is>
          <t>3.</t>
        </is>
      </c>
      <c r="D86" s="70" t="inlineStr">
        <is>
          <t>Scénario Haut</t>
        </is>
      </c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</row>
    <row r="87" ht="16.2" customHeight="1"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15.6" customHeight="1" thickBot="1">
      <c r="D88" s="22" t="inlineStr">
        <is>
          <t>Bloc</t>
        </is>
      </c>
      <c r="E88" s="22" t="inlineStr">
        <is>
          <t>Baseline 2026</t>
        </is>
      </c>
      <c r="F88" s="22" t="inlineStr">
        <is>
          <t>Croissance activité / effectifs</t>
        </is>
      </c>
      <c r="G88" s="22" t="inlineStr">
        <is>
          <t>Croissance intensité</t>
        </is>
      </c>
      <c r="H88" s="22" t="inlineStr">
        <is>
          <t>Facteur de croissance métier</t>
        </is>
      </c>
      <c r="I88" s="22" t="inlineStr">
        <is>
          <t>Besoin hors IA 2035</t>
        </is>
      </c>
      <c r="J88" s="22" t="inlineStr">
        <is>
          <t>Surcouche IA</t>
        </is>
      </c>
      <c r="K88" s="22" t="inlineStr">
        <is>
          <t>Besoin IA</t>
        </is>
      </c>
      <c r="L88" s="22" t="inlineStr">
        <is>
          <t>Besoin total 2035</t>
        </is>
      </c>
      <c r="M88" s="22" t="inlineStr">
        <is>
          <t>Adressable socle [%]</t>
        </is>
      </c>
      <c r="N88" s="22" t="inlineStr">
        <is>
          <t>Adressable IA [%]</t>
        </is>
      </c>
      <c r="O88" s="22" t="inlineStr">
        <is>
          <t>Demande adressable 2035 [kW IT]</t>
        </is>
      </c>
      <c r="P88" s="22" t="inlineStr">
        <is>
          <t>Demande adressable 2035 [MW IT]</t>
        </is>
      </c>
    </row>
    <row r="89">
      <c r="D89" s="2" t="inlineStr">
        <is>
          <t>DSP</t>
        </is>
      </c>
      <c r="E89" s="85">
        <f>F$9</f>
        <v/>
      </c>
      <c r="F89" s="38">
        <f>(1+_xlfn.XLOOKUP($D$86,$F$33:$H$33,$F$34:$H$34))^9</f>
        <v/>
      </c>
      <c r="G89" s="38">
        <f>(1+_xlfn.XLOOKUP($D$86,$F$33:$H$33,$F$37:$H$37))^9</f>
        <v/>
      </c>
      <c r="H89" s="91">
        <f>('1_Inputs&amp;Hyp'!F59/'1_Inputs&amp;Hyp'!F57)*'1_Inputs&amp;Hyp'!F62</f>
        <v/>
      </c>
      <c r="I89" s="85">
        <f>H$9*F89*G89+G$9*H89</f>
        <v/>
      </c>
      <c r="J89" s="38">
        <f>_xlfn.XLOOKUP($D$86,$F$33:$H$33,$F$40:$H$40)</f>
        <v/>
      </c>
      <c r="K89" s="85">
        <f>I89*J89</f>
        <v/>
      </c>
      <c r="L89" s="85">
        <f>I89+K89</f>
        <v/>
      </c>
      <c r="M89" s="38">
        <f>_xlfn.XLOOKUP($D$86,$F$33:$H$33,$F$46:$H$46)</f>
        <v/>
      </c>
      <c r="N89" s="38">
        <f>_xlfn.XLOOKUP($D$86,$F$33:$H$33,$F$49:$H$49)</f>
        <v/>
      </c>
      <c r="O89" s="85">
        <f>I89*M89+K89*N89</f>
        <v/>
      </c>
      <c r="P89" s="4">
        <f>O89/1000</f>
        <v/>
      </c>
      <c r="R89" s="87">
        <f>O89</f>
        <v/>
      </c>
    </row>
    <row r="90">
      <c r="D90" s="2" t="inlineStr">
        <is>
          <t>DENJS</t>
        </is>
      </c>
      <c r="E90" s="85">
        <f>F$10</f>
        <v/>
      </c>
      <c r="F90" s="38">
        <f>(1+_xlfn.XLOOKUP($D$86,$F$33:$H$33,$F$34:$H$34))^9</f>
        <v/>
      </c>
      <c r="G90" s="38">
        <f>(1+_xlfn.XLOOKUP($D$86,$F$33:$H$33,$F$37:$H$37))^9</f>
        <v/>
      </c>
      <c r="H90" s="88" t="n">
        <v>1</v>
      </c>
      <c r="I90" s="85">
        <f>E90*F90*G90</f>
        <v/>
      </c>
      <c r="J90" s="38">
        <f>_xlfn.XLOOKUP($D$86,$F$33:$H$33,$F$40:$H$40)</f>
        <v/>
      </c>
      <c r="K90" s="85">
        <f>I90*J90</f>
        <v/>
      </c>
      <c r="L90" s="85">
        <f>I90+K90</f>
        <v/>
      </c>
      <c r="M90" s="38">
        <f>_xlfn.XLOOKUP($D$86,$F$33:$H$33,$F$46:$H$46)</f>
        <v/>
      </c>
      <c r="N90" s="38">
        <f>_xlfn.XLOOKUP($D$86,$F$33:$H$33,$F$49:$H$49)</f>
        <v/>
      </c>
      <c r="O90" s="85">
        <f>I90*M90+K90*N90</f>
        <v/>
      </c>
      <c r="P90" s="4">
        <f>O90/1000</f>
        <v/>
      </c>
      <c r="R90" s="89">
        <f>O90+O91+O92</f>
        <v/>
      </c>
    </row>
    <row r="91">
      <c r="D91" s="2" t="inlineStr">
        <is>
          <t>APDP</t>
        </is>
      </c>
      <c r="E91" s="85">
        <f>F$11</f>
        <v/>
      </c>
      <c r="F91" s="38">
        <f>(1+_xlfn.XLOOKUP($D$86,$F$33:$H$33,$F$34:$H$34))^9</f>
        <v/>
      </c>
      <c r="G91" s="38">
        <f>(1+_xlfn.XLOOKUP($D$86,$F$33:$H$33,$F$37:$H$37))^9</f>
        <v/>
      </c>
      <c r="H91" s="88" t="n">
        <v>1</v>
      </c>
      <c r="I91" s="85">
        <f>E91*F91*G91</f>
        <v/>
      </c>
      <c r="J91" s="38">
        <f>_xlfn.XLOOKUP($D$86,$F$33:$H$33,$F$40:$H$40)</f>
        <v/>
      </c>
      <c r="K91" s="85">
        <f>I91*J91</f>
        <v/>
      </c>
      <c r="L91" s="85">
        <f>I91+K91</f>
        <v/>
      </c>
      <c r="M91" s="38">
        <f>_xlfn.XLOOKUP($D$86,$F$33:$H$33,$F$46:$H$46)</f>
        <v/>
      </c>
      <c r="N91" s="38">
        <f>_xlfn.XLOOKUP($D$86,$F$33:$H$33,$F$49:$H$49)</f>
        <v/>
      </c>
      <c r="O91" s="85">
        <f>I91*M91+K91*N91</f>
        <v/>
      </c>
      <c r="P91" s="4">
        <f>O91/1000</f>
        <v/>
      </c>
      <c r="R91" s="87">
        <f>O93</f>
        <v/>
      </c>
    </row>
    <row r="92">
      <c r="D92" s="2" t="inlineStr">
        <is>
          <t>DITN</t>
        </is>
      </c>
      <c r="E92" s="85">
        <f>F$12</f>
        <v/>
      </c>
      <c r="F92" s="38">
        <f>(1+_xlfn.XLOOKUP($D$86,$F$33:$H$33,$F$34:$H$34))^9</f>
        <v/>
      </c>
      <c r="G92" s="38">
        <f>(1+_xlfn.XLOOKUP($D$86,$F$33:$H$33,$F$37:$H$37))^9</f>
        <v/>
      </c>
      <c r="H92" s="88" t="n">
        <v>1</v>
      </c>
      <c r="I92" s="85">
        <f>E92*F92*G92</f>
        <v/>
      </c>
      <c r="J92" s="38">
        <f>_xlfn.XLOOKUP($D$86,$F$33:$H$33,$F$40:$H$40)</f>
        <v/>
      </c>
      <c r="K92" s="85">
        <f>I92*J92</f>
        <v/>
      </c>
      <c r="L92" s="85">
        <f>I92+K92</f>
        <v/>
      </c>
      <c r="M92" s="38">
        <f>_xlfn.XLOOKUP($D$86,$F$33:$H$33,$F$46:$H$46)</f>
        <v/>
      </c>
      <c r="N92" s="38">
        <f>_xlfn.XLOOKUP($D$86,$F$33:$H$33,$F$49:$H$49)</f>
        <v/>
      </c>
      <c r="O92" s="85">
        <f>I92*M92+K92*N92</f>
        <v/>
      </c>
      <c r="P92" s="4">
        <f>O92/1000</f>
        <v/>
      </c>
      <c r="R92" s="87">
        <f>O94</f>
        <v/>
      </c>
    </row>
    <row r="93">
      <c r="D93" s="2" t="inlineStr">
        <is>
          <t>CHPG</t>
        </is>
      </c>
      <c r="E93" s="85">
        <f>F$13</f>
        <v/>
      </c>
      <c r="F93" s="38">
        <f>(1+_xlfn.XLOOKUP(D86,'1_Inputs&amp;Hyp'!$F$66:$H$66,'1_Inputs&amp;Hyp'!$F$67:$H$67))^9</f>
        <v/>
      </c>
      <c r="G93" s="38">
        <f>(1+_xlfn.XLOOKUP($D$86,$F$33:$H$33,$F$37:$H$37))^9</f>
        <v/>
      </c>
      <c r="H93" s="86">
        <f>(1+_xlfn.XLOOKUP(D86,'1_Inputs&amp;Hyp'!$F$66:$H$66,'1_Inputs&amp;Hyp'!$F$68:$H$68))^9</f>
        <v/>
      </c>
      <c r="I93" s="85">
        <f>H$13*F93*G93+G$13*H93</f>
        <v/>
      </c>
      <c r="J93" s="38">
        <f>_xlfn.XLOOKUP($D$86,$F$33:$H$33,$F$40:$H$40)</f>
        <v/>
      </c>
      <c r="K93" s="85">
        <f>I93*J93</f>
        <v/>
      </c>
      <c r="L93" s="85">
        <f>I93+K93</f>
        <v/>
      </c>
      <c r="M93" s="38">
        <f>_xlfn.XLOOKUP($D$86,$F$33:$H$33,$F$46:$H$46)</f>
        <v/>
      </c>
      <c r="N93" s="38">
        <f>_xlfn.XLOOKUP($D$86,$F$33:$H$33,$F$49:$H$49)</f>
        <v/>
      </c>
      <c r="O93" s="85">
        <f>I93*M93+K93*N93</f>
        <v/>
      </c>
      <c r="P93" s="4">
        <f>O93/1000</f>
        <v/>
      </c>
      <c r="R93" s="87">
        <f>O95</f>
        <v/>
      </c>
    </row>
    <row r="94">
      <c r="D94" s="2" t="inlineStr">
        <is>
          <t>Monaco Telecom</t>
        </is>
      </c>
      <c r="E94" s="85">
        <f>F$14</f>
        <v/>
      </c>
      <c r="F94" s="38">
        <f>(1+_xlfn.XLOOKUP($D$86,$F$33:$H$33,$F$36:$H$36))^9</f>
        <v/>
      </c>
      <c r="G94" s="38">
        <f>(1+_xlfn.XLOOKUP($D$86,$F$33:$H$33,$F$39:$H$39))^9</f>
        <v/>
      </c>
      <c r="H94" s="88" t="n">
        <v>1</v>
      </c>
      <c r="I94" s="85">
        <f>E94*F94*G94</f>
        <v/>
      </c>
      <c r="J94" s="38">
        <f>_xlfn.XLOOKUP($D$86,$F$33:$H$33,$F$42:$H$42)</f>
        <v/>
      </c>
      <c r="K94" s="85">
        <f>I94*J94</f>
        <v/>
      </c>
      <c r="L94" s="85">
        <f>I94+K94</f>
        <v/>
      </c>
      <c r="M94" s="38">
        <f>_xlfn.XLOOKUP($D$86,$F$33:$H$33,$F$46:$H$46)</f>
        <v/>
      </c>
      <c r="N94" s="38">
        <f>_xlfn.XLOOKUP($D$86,$F$33:$H$33,$F$51:$H$51)</f>
        <v/>
      </c>
      <c r="O94" s="85">
        <f>I94*M94+K94*N94</f>
        <v/>
      </c>
      <c r="P94" s="4">
        <f>O94/1000</f>
        <v/>
      </c>
      <c r="R94" s="87">
        <f>O96</f>
        <v/>
      </c>
    </row>
    <row r="95">
      <c r="D95" s="2" t="inlineStr">
        <is>
          <t>Finance</t>
        </is>
      </c>
      <c r="E95" s="85">
        <f>F$15</f>
        <v/>
      </c>
      <c r="F95" s="38">
        <f>(1+_xlfn.XLOOKUP($D$86,$F$33:$H$33,$F$35:$H$35))^9</f>
        <v/>
      </c>
      <c r="G95" s="38">
        <f>(1+_xlfn.XLOOKUP($D$86,$F$33:$H$33,$F$38:$H$38))^9</f>
        <v/>
      </c>
      <c r="H95" s="88" t="n">
        <v>1</v>
      </c>
      <c r="I95" s="85">
        <f>E95*F95*G95</f>
        <v/>
      </c>
      <c r="J95" s="38">
        <f>_xlfn.XLOOKUP($D$86,$F$33:$H$33,$F$41:$H$41)</f>
        <v/>
      </c>
      <c r="K95" s="85">
        <f>I95*J95</f>
        <v/>
      </c>
      <c r="L95" s="85">
        <f>I95+K95</f>
        <v/>
      </c>
      <c r="M95" s="38">
        <f>_xlfn.XLOOKUP($D$86,$F$33:$H$33,$F$47:$H$47)</f>
        <v/>
      </c>
      <c r="N95" s="38">
        <f>_xlfn.XLOOKUP($D$86,$F$33:$H$33,$F$50:$H$50)</f>
        <v/>
      </c>
      <c r="O95" s="85">
        <f>I95*M95+K95*N95</f>
        <v/>
      </c>
      <c r="P95" s="4">
        <f>O95/1000</f>
        <v/>
      </c>
    </row>
    <row r="96">
      <c r="D96" s="2" t="inlineStr">
        <is>
          <t>Privé hors finance</t>
        </is>
      </c>
      <c r="E96" s="85">
        <f>F$16</f>
        <v/>
      </c>
      <c r="F96" s="38">
        <f>(1+_xlfn.XLOOKUP($D$86,$F$33:$H$33,$F$36:$H$36))^9</f>
        <v/>
      </c>
      <c r="G96" s="38">
        <f>(1+_xlfn.XLOOKUP($D$86,$F$33:$H$33,$F$39:$H$39))^9</f>
        <v/>
      </c>
      <c r="H96" s="88" t="n">
        <v>1</v>
      </c>
      <c r="I96" s="85">
        <f>E96*F96*G96</f>
        <v/>
      </c>
      <c r="J96" s="38">
        <f>_xlfn.XLOOKUP($D$86,$F$33:$H$33,$F$42:$H$42)</f>
        <v/>
      </c>
      <c r="K96" s="85">
        <f>I96*J96</f>
        <v/>
      </c>
      <c r="L96" s="85">
        <f>I96+K96</f>
        <v/>
      </c>
      <c r="M96" s="38">
        <f>_xlfn.XLOOKUP($D$86,$F$33:$H$33,$F$48:$H$48)</f>
        <v/>
      </c>
      <c r="N96" s="38">
        <f>_xlfn.XLOOKUP($D$86,$F$33:$H$33,$F$51:$H$51)</f>
        <v/>
      </c>
      <c r="O96" s="85">
        <f>I96*M96+K96*N96</f>
        <v/>
      </c>
      <c r="P96" s="4">
        <f>O96/1000</f>
        <v/>
      </c>
    </row>
    <row r="97">
      <c r="D97" s="2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4" t="n"/>
    </row>
    <row r="98">
      <c r="D98" s="5" t="inlineStr">
        <is>
          <t>TOTAL</t>
        </is>
      </c>
      <c r="E98" s="90">
        <f>SUM(E89:E96)</f>
        <v/>
      </c>
      <c r="F98" s="90" t="n"/>
      <c r="G98" s="90" t="n"/>
      <c r="H98" s="90" t="n"/>
      <c r="I98" s="90">
        <f>SUM(I89:I96)</f>
        <v/>
      </c>
      <c r="J98" s="90" t="n"/>
      <c r="K98" s="90">
        <f>SUM(K89:K96)</f>
        <v/>
      </c>
      <c r="L98" s="90">
        <f>SUM(L89:L96)</f>
        <v/>
      </c>
      <c r="M98" s="90" t="n"/>
      <c r="N98" s="90" t="n"/>
      <c r="O98" s="90">
        <f>SUM(O89:O96)</f>
        <v/>
      </c>
      <c r="P98" s="90">
        <f>SUM(P89:P96)</f>
        <v/>
      </c>
    </row>
    <row r="99"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</sheetData>
  <mergeCells count="3">
    <mergeCell ref="D31:P31"/>
    <mergeCell ref="D6:P6"/>
    <mergeCell ref="D54:P54"/>
  </mergeCells>
  <pageMargins left="0.7" right="0.7" top="0.75" bottom="0.75" header="0.3" footer="0.3"/>
  <headerFooter>
    <oddHeader>&amp;L&amp;"Aptos"&amp;1 &amp;K000000 INTERNAL#_x000d_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N96"/>
  <sheetViews>
    <sheetView tabSelected="1" zoomScale="85" zoomScaleNormal="85" workbookViewId="0">
      <selection activeCell="G29" sqref="G29"/>
    </sheetView>
  </sheetViews>
  <sheetFormatPr baseColWidth="8" defaultColWidth="8.69921875" defaultRowHeight="15"/>
  <cols>
    <col width="8.69921875" customWidth="1" style="1" min="1" max="1"/>
    <col width="40" bestFit="1" customWidth="1" style="1" min="2" max="2"/>
    <col width="16" customWidth="1" style="1" min="3" max="5"/>
    <col width="4" customWidth="1" style="1" min="6" max="6"/>
    <col width="14" customWidth="1" style="1" min="7" max="14"/>
    <col width="8.69921875" customWidth="1" style="1" min="15" max="16384"/>
  </cols>
  <sheetData>
    <row r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.35" customHeight="1">
      <c r="B2" s="68" t="inlineStr">
        <is>
          <t>Output – projection des besoins IT à horizon 2035</t>
        </is>
      </c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</row>
    <row r="3">
      <c r="B3" s="69" t="inlineStr">
        <is>
          <t>Comparaison des trois scénarios | Besoin généré vs demande adressable à Monaco</t>
        </is>
      </c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</row>
    <row r="4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6.2" customHeight="1">
      <c r="B5" s="74" t="inlineStr">
        <is>
          <t>A. Synthèse des trois scénarios</t>
        </is>
      </c>
      <c r="C5" s="74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</row>
    <row r="6" ht="16.2" customHeight="1"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</row>
    <row r="7" ht="15.6" customHeight="1" thickBot="1">
      <c r="B7" s="22" t="inlineStr">
        <is>
          <t>Indicateur</t>
        </is>
      </c>
      <c r="C7" s="22" t="inlineStr">
        <is>
          <t>Bas</t>
        </is>
      </c>
      <c r="D7" s="22" t="inlineStr">
        <is>
          <t>Central</t>
        </is>
      </c>
      <c r="E7" s="22" t="inlineStr">
        <is>
          <t>Haut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B8" s="2" t="inlineStr">
        <is>
          <t>Besoin IT total généré 2026 (MW IT)</t>
        </is>
      </c>
      <c r="C8" s="4">
        <f>'2_Calculs'!$F$17/10^3</f>
        <v/>
      </c>
      <c r="D8" s="4">
        <f>'2_Calculs'!$F$17/10^3</f>
        <v/>
      </c>
      <c r="E8" s="4">
        <f>'2_Calculs'!$F$17/10^3</f>
        <v/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B9" s="2" t="inlineStr">
        <is>
          <t>Besoin IT total généré 2035 (MW IT)</t>
        </is>
      </c>
      <c r="C9" s="4">
        <f>'2_Calculs'!L68/10^3</f>
        <v/>
      </c>
      <c r="D9" s="4">
        <f>'2_Calculs'!L83/10^3</f>
        <v/>
      </c>
      <c r="E9" s="4">
        <f>'2_Calculs'!L98/10^3</f>
        <v/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5.6" customHeight="1" thickBot="1">
      <c r="B10" s="24" t="inlineStr">
        <is>
          <t>Demande adressable Monaco 2035 (MW IT)</t>
        </is>
      </c>
      <c r="C10" s="35">
        <f>'2_Calculs'!P68</f>
        <v/>
      </c>
      <c r="D10" s="35">
        <f>'2_Calculs'!P83</f>
        <v/>
      </c>
      <c r="E10" s="35">
        <f>'2_Calculs'!P98</f>
        <v/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5.6" customHeight="1" thickTop="1">
      <c r="B11" s="2" t="n"/>
      <c r="C11" s="4" t="n"/>
      <c r="D11" s="4" t="n"/>
      <c r="E11" s="4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B12" s="32" t="inlineStr">
        <is>
          <t>Taux adressable moyen</t>
        </is>
      </c>
      <c r="C12" s="93">
        <f>C10/C9</f>
        <v/>
      </c>
      <c r="D12" s="93">
        <f>D10/D9</f>
        <v/>
      </c>
      <c r="E12" s="93">
        <f>E10/E9</f>
        <v/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B13" s="32" t="inlineStr">
        <is>
          <t>Croissance besoin généré 2026–2035 (x)</t>
        </is>
      </c>
      <c r="C13" s="94">
        <f>C9/C8</f>
        <v/>
      </c>
      <c r="D13" s="94">
        <f>D9/D8</f>
        <v/>
      </c>
      <c r="E13" s="94">
        <f>E9/E8</f>
        <v/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16.2" customHeight="1">
      <c r="B16" s="83" t="inlineStr">
        <is>
          <t>B. Demande adressable 2035 par bloc d'entités</t>
        </is>
      </c>
    </row>
    <row r="17" ht="16.2" customHeight="1"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</row>
    <row r="18" ht="15.6" customHeight="1" thickBot="1">
      <c r="B18" s="22" t="inlineStr">
        <is>
          <t>Bloc</t>
        </is>
      </c>
      <c r="C18" s="22" t="inlineStr">
        <is>
          <t>Bas</t>
        </is>
      </c>
      <c r="D18" s="22" t="inlineStr">
        <is>
          <t>Central</t>
        </is>
      </c>
      <c r="E18" s="22" t="inlineStr">
        <is>
          <t>Haut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B19" s="2" t="inlineStr">
        <is>
          <t>DSP</t>
        </is>
      </c>
      <c r="C19" s="4">
        <f>'2_Calculs'!P59</f>
        <v/>
      </c>
      <c r="D19" s="4">
        <f>'2_Calculs'!P74</f>
        <v/>
      </c>
      <c r="E19" s="4">
        <f>'2_Calculs'!P89</f>
        <v/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B20" s="2" t="inlineStr">
        <is>
          <t>DENJS + APDP + DITN</t>
        </is>
      </c>
      <c r="C20" s="4">
        <f>'2_Calculs'!P60+'2_Calculs'!P61+'2_Calculs'!P62</f>
        <v/>
      </c>
      <c r="D20" s="4">
        <f>'2_Calculs'!P75+'2_Calculs'!P76+'2_Calculs'!P77</f>
        <v/>
      </c>
      <c r="E20" s="4">
        <f>'2_Calculs'!P90+'2_Calculs'!P91+'2_Calculs'!P92</f>
        <v/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B21" s="2" t="inlineStr">
        <is>
          <t>CHPG</t>
        </is>
      </c>
      <c r="C21" s="4">
        <f>'2_Calculs'!P63</f>
        <v/>
      </c>
      <c r="D21" s="4">
        <f>'2_Calculs'!P78</f>
        <v/>
      </c>
      <c r="E21" s="4">
        <f>'2_Calculs'!P93</f>
        <v/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B22" s="2" t="inlineStr">
        <is>
          <t>Monaco Telecom</t>
        </is>
      </c>
      <c r="C22" s="4">
        <f>'2_Calculs'!P64</f>
        <v/>
      </c>
      <c r="D22" s="4">
        <f>'2_Calculs'!P79</f>
        <v/>
      </c>
      <c r="E22" s="4">
        <f>'2_Calculs'!P94</f>
        <v/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B23" s="2" t="inlineStr">
        <is>
          <t>Finance</t>
        </is>
      </c>
      <c r="C23" s="4">
        <f>'2_Calculs'!P65</f>
        <v/>
      </c>
      <c r="D23" s="4">
        <f>'2_Calculs'!P80</f>
        <v/>
      </c>
      <c r="E23" s="4">
        <f>'2_Calculs'!P95</f>
        <v/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B24" s="2" t="inlineStr">
        <is>
          <t>Privé hors finance</t>
        </is>
      </c>
      <c r="C24" s="4">
        <f>'2_Calculs'!P66</f>
        <v/>
      </c>
      <c r="D24" s="4">
        <f>'2_Calculs'!P81</f>
        <v/>
      </c>
      <c r="E24" s="4">
        <f>'2_Calculs'!P96</f>
        <v/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B25" s="5" t="inlineStr">
        <is>
          <t>TOTAL</t>
        </is>
      </c>
      <c r="C25" s="6">
        <f>SUM(C19:C24)</f>
        <v/>
      </c>
      <c r="D25" s="6">
        <f>SUM(D19:D24)</f>
        <v/>
      </c>
      <c r="E25" s="6">
        <f>SUM(E19:E24)</f>
        <v/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B26" s="39" t="inlineStr">
        <is>
          <t>Ctrl</t>
        </is>
      </c>
      <c r="C26" s="39">
        <f>C25=C10</f>
        <v/>
      </c>
      <c r="D26" s="39">
        <f>D25=D10</f>
        <v/>
      </c>
      <c r="E26" s="39">
        <f>E25=E10</f>
        <v/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</sheetData>
  <mergeCells count="1">
    <mergeCell ref="B16:N16"/>
  </mergeCells>
  <pageMargins left="0.7" right="0.7" top="0.75" bottom="0.75" header="0.3" footer="0.3"/>
  <headerFooter>
    <oddHeader>&amp;L&amp;"Aptos"&amp;1 &amp;K000000 INTERNAL#_x000d_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Leveilley, Victoire</dc:creator>
  <dcterms:created xsi:type="dcterms:W3CDTF">2026-09-29T11:24:40Z</dcterms:created>
  <dcterms:modified xsi:type="dcterms:W3CDTF">2026-10-02T08:05:47Z</dcterms:modified>
  <cp:lastModifiedBy>Thivard, Theo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52f35fa-8165-4243-b308-eaa898c7c3bd_Enabled" fmtid="{D5CDD505-2E9C-101B-9397-08002B2CF9AE}" pid="2">
    <vt:lpwstr>true</vt:lpwstr>
  </property>
  <property name="MSIP_Label_252f35fa-8165-4243-b308-eaa898c7c3bd_SetDate" fmtid="{D5CDD505-2E9C-101B-9397-08002B2CF9AE}" pid="3">
    <vt:lpwstr>2026-09-29T11:24:40Z</vt:lpwstr>
  </property>
  <property name="MSIP_Label_252f35fa-8165-4243-b308-eaa898c7c3bd_Method" fmtid="{D5CDD505-2E9C-101B-9397-08002B2CF9AE}" pid="4">
    <vt:lpwstr>Privileged</vt:lpwstr>
  </property>
  <property name="MSIP_Label_252f35fa-8165-4243-b308-eaa898c7c3bd_Name" fmtid="{D5CDD505-2E9C-101B-9397-08002B2CF9AE}" pid="5">
    <vt:lpwstr>Internal</vt:lpwstr>
  </property>
  <property name="MSIP_Label_252f35fa-8165-4243-b308-eaa898c7c3bd_SiteId" fmtid="{D5CDD505-2E9C-101B-9397-08002B2CF9AE}" pid="6">
    <vt:lpwstr>720ebb82-481f-4a53-b7ca-9a6c71a0e24b</vt:lpwstr>
  </property>
  <property name="MSIP_Label_252f35fa-8165-4243-b308-eaa898c7c3bd_ActionId" fmtid="{D5CDD505-2E9C-101B-9397-08002B2CF9AE}" pid="7">
    <vt:lpwstr>c8bd5b02-2ace-4df9-b63a-12afeee6b4a7</vt:lpwstr>
  </property>
  <property name="MSIP_Label_252f35fa-8165-4243-b308-eaa898c7c3bd_ContentBits" fmtid="{D5CDD505-2E9C-101B-9397-08002B2CF9AE}" pid="8">
    <vt:lpwstr>1</vt:lpwstr>
  </property>
  <property name="MSIP_Label_252f35fa-8165-4243-b308-eaa898c7c3bd_Tag" fmtid="{D5CDD505-2E9C-101B-9397-08002B2CF9AE}" pid="9">
    <vt:lpwstr>10, 0, 1, 1</vt:lpwstr>
  </property>
  <property name="ContentTypeId" fmtid="{D5CDD505-2E9C-101B-9397-08002B2CF9AE}" pid="10">
    <vt:lpwstr>0x010100E67A066FCD1E3F438488297A6C42CAF9</vt:lpwstr>
  </property>
</Properties>
</file>