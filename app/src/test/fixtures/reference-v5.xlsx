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Dashboard/"/>
    </mc:Choice>
  </mc:AlternateContent>
  <xr:revisionPtr revIDLastSave="0" documentId="8_{44F8A508-4B68-4497-A0BE-B5FDDB4C4D58}" xr6:coauthVersionLast="47" xr6:coauthVersionMax="47" xr10:uidLastSave="{00000000-0000-0000-0000-000000000000}"/>
  <bookViews>
    <workbookView xWindow="-9048" yWindow="-17388" windowWidth="41496" windowHeight="16776" activeTab="3" xr2:uid="{00000000-000D-0000-FFFF-FFFF00000000}"/>
  </bookViews>
  <sheets>
    <sheet name="Cover" sheetId="5" r:id="rId1"/>
    <sheet name="1_Inputs&amp;Hyp" sheetId="2" r:id="rId2"/>
    <sheet name="2_Calculs" sheetId="3" r:id="rId3"/>
    <sheet name="3_Output" sheetId="4" r:id="rId4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12" i="3"/>
  <c r="G13" i="3"/>
  <c r="G14" i="3"/>
  <c r="G15" i="3"/>
  <c r="G16" i="3"/>
  <c r="H91" i="3"/>
  <c r="H76" i="3"/>
  <c r="H61" i="3"/>
  <c r="H63" i="3"/>
  <c r="H93" i="3" l="1"/>
  <c r="F63" i="3"/>
  <c r="H78" i="3"/>
  <c r="F93" i="3"/>
  <c r="F78" i="3"/>
  <c r="F14" i="2"/>
  <c r="F14" i="3" s="1"/>
  <c r="E94" i="3" s="1"/>
  <c r="F21" i="3"/>
  <c r="G45" i="3"/>
  <c r="F45" i="3"/>
  <c r="G21" i="3" s="1"/>
  <c r="H45" i="3"/>
  <c r="F9" i="3"/>
  <c r="E89" i="3" s="1"/>
  <c r="G34" i="3"/>
  <c r="F77" i="3" s="1"/>
  <c r="H34" i="3"/>
  <c r="F92" i="3" s="1"/>
  <c r="G35" i="3"/>
  <c r="F80" i="3" s="1"/>
  <c r="H35" i="3"/>
  <c r="F95" i="3" s="1"/>
  <c r="G36" i="3"/>
  <c r="F81" i="3" s="1"/>
  <c r="H36" i="3"/>
  <c r="F94" i="3" s="1"/>
  <c r="G37" i="3"/>
  <c r="G78" i="3" s="1"/>
  <c r="H37" i="3"/>
  <c r="G91" i="3" s="1"/>
  <c r="G38" i="3"/>
  <c r="G80" i="3" s="1"/>
  <c r="H38" i="3"/>
  <c r="G95" i="3" s="1"/>
  <c r="G39" i="3"/>
  <c r="H39" i="3"/>
  <c r="G96" i="3" s="1"/>
  <c r="G40" i="3"/>
  <c r="J78" i="3" s="1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65" i="3" s="1"/>
  <c r="F36" i="3"/>
  <c r="F66" i="3" s="1"/>
  <c r="F37" i="3"/>
  <c r="F38" i="3"/>
  <c r="G65" i="3" s="1"/>
  <c r="F39" i="3"/>
  <c r="G64" i="3" s="1"/>
  <c r="F40" i="3"/>
  <c r="F41" i="3"/>
  <c r="J65" i="3" s="1"/>
  <c r="F42" i="3"/>
  <c r="J64" i="3" s="1"/>
  <c r="F43" i="3"/>
  <c r="G27" i="3" s="1"/>
  <c r="F44" i="3"/>
  <c r="F16" i="3" s="1"/>
  <c r="E66" i="3" s="1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61" i="3" s="1"/>
  <c r="F28" i="3"/>
  <c r="F27" i="3"/>
  <c r="F13" i="3"/>
  <c r="F12" i="3"/>
  <c r="H12" i="3" s="1"/>
  <c r="F11" i="3"/>
  <c r="F10" i="3"/>
  <c r="H10" i="3" s="1"/>
  <c r="F59" i="2"/>
  <c r="H59" i="3" s="1"/>
  <c r="F64" i="3" l="1"/>
  <c r="F60" i="3"/>
  <c r="F79" i="3"/>
  <c r="F62" i="3"/>
  <c r="F75" i="3"/>
  <c r="F96" i="3"/>
  <c r="F74" i="3"/>
  <c r="F89" i="3"/>
  <c r="F90" i="3"/>
  <c r="G62" i="3"/>
  <c r="G61" i="3"/>
  <c r="E61" i="3"/>
  <c r="G77" i="3"/>
  <c r="I77" i="3" s="1"/>
  <c r="F76" i="3"/>
  <c r="F91" i="3"/>
  <c r="I78" i="3"/>
  <c r="K78" i="3" s="1"/>
  <c r="L78" i="3" s="1"/>
  <c r="J63" i="3"/>
  <c r="J61" i="3"/>
  <c r="F59" i="3"/>
  <c r="F15" i="3"/>
  <c r="H74" i="3"/>
  <c r="E79" i="3"/>
  <c r="J94" i="3"/>
  <c r="J62" i="3"/>
  <c r="H89" i="3"/>
  <c r="G76" i="3"/>
  <c r="N90" i="3"/>
  <c r="E81" i="3"/>
  <c r="G75" i="3"/>
  <c r="N89" i="3"/>
  <c r="G92" i="3"/>
  <c r="I92" i="3" s="1"/>
  <c r="N91" i="3"/>
  <c r="J60" i="3"/>
  <c r="G93" i="3"/>
  <c r="I93" i="3" s="1"/>
  <c r="J66" i="3"/>
  <c r="M61" i="3"/>
  <c r="E64" i="3"/>
  <c r="N76" i="3"/>
  <c r="J89" i="3"/>
  <c r="E77" i="3"/>
  <c r="E96" i="3"/>
  <c r="J90" i="3"/>
  <c r="E78" i="3"/>
  <c r="J93" i="3"/>
  <c r="G94" i="3"/>
  <c r="M79" i="3"/>
  <c r="N92" i="3"/>
  <c r="N74" i="3"/>
  <c r="M89" i="3"/>
  <c r="M62" i="3"/>
  <c r="G74" i="3"/>
  <c r="N75" i="3"/>
  <c r="M90" i="3"/>
  <c r="N94" i="3"/>
  <c r="M92" i="3"/>
  <c r="M91" i="3"/>
  <c r="M60" i="3"/>
  <c r="N78" i="3"/>
  <c r="J59" i="3"/>
  <c r="G90" i="3"/>
  <c r="J91" i="3"/>
  <c r="M94" i="3"/>
  <c r="G59" i="3"/>
  <c r="G89" i="3"/>
  <c r="E59" i="3"/>
  <c r="J79" i="3"/>
  <c r="E60" i="3"/>
  <c r="J81" i="3"/>
  <c r="G60" i="3"/>
  <c r="N59" i="3"/>
  <c r="E63" i="3"/>
  <c r="E92" i="3"/>
  <c r="G66" i="3"/>
  <c r="J74" i="3"/>
  <c r="M74" i="3"/>
  <c r="N61" i="3"/>
  <c r="G81" i="3"/>
  <c r="M75" i="3"/>
  <c r="N79" i="3"/>
  <c r="M59" i="3"/>
  <c r="N60" i="3"/>
  <c r="E74" i="3"/>
  <c r="J76" i="3"/>
  <c r="M64" i="3"/>
  <c r="N66" i="3"/>
  <c r="E75" i="3"/>
  <c r="J77" i="3"/>
  <c r="M77" i="3"/>
  <c r="N81" i="3"/>
  <c r="G63" i="3"/>
  <c r="I63" i="3" s="1"/>
  <c r="M81" i="3"/>
  <c r="E62" i="3"/>
  <c r="E90" i="3"/>
  <c r="N63" i="3"/>
  <c r="G79" i="3"/>
  <c r="J75" i="3"/>
  <c r="M76" i="3"/>
  <c r="E76" i="3"/>
  <c r="E91" i="3"/>
  <c r="E93" i="3"/>
  <c r="H9" i="3"/>
  <c r="H14" i="3"/>
  <c r="G28" i="3"/>
  <c r="H16" i="3"/>
  <c r="I60" i="3" l="1"/>
  <c r="I90" i="3"/>
  <c r="I75" i="3"/>
  <c r="I62" i="3"/>
  <c r="I81" i="3"/>
  <c r="K81" i="3" s="1"/>
  <c r="O81" i="3" s="1"/>
  <c r="I96" i="3"/>
  <c r="K96" i="3" s="1"/>
  <c r="L96" i="3" s="1"/>
  <c r="I66" i="3"/>
  <c r="K66" i="3" s="1"/>
  <c r="O66" i="3" s="1"/>
  <c r="I94" i="3"/>
  <c r="K94" i="3" s="1"/>
  <c r="I79" i="3"/>
  <c r="K79" i="3" s="1"/>
  <c r="O79" i="3" s="1"/>
  <c r="I64" i="3"/>
  <c r="K64" i="3" s="1"/>
  <c r="G9" i="3"/>
  <c r="I89" i="3" s="1"/>
  <c r="K77" i="3"/>
  <c r="O77" i="3" s="1"/>
  <c r="K93" i="3"/>
  <c r="O93" i="3" s="1"/>
  <c r="K60" i="3"/>
  <c r="L60" i="3" s="1"/>
  <c r="K90" i="3"/>
  <c r="O90" i="3" s="1"/>
  <c r="K75" i="3"/>
  <c r="O75" i="3" s="1"/>
  <c r="P75" i="3" s="1"/>
  <c r="D20" i="4" s="1"/>
  <c r="K92" i="3"/>
  <c r="O92" i="3" s="1"/>
  <c r="P92" i="3" s="1"/>
  <c r="E22" i="4" s="1"/>
  <c r="F17" i="3"/>
  <c r="E95" i="3"/>
  <c r="E65" i="3"/>
  <c r="E80" i="3"/>
  <c r="O78" i="3"/>
  <c r="H15" i="3"/>
  <c r="I74" i="3" l="1"/>
  <c r="I59" i="3"/>
  <c r="I95" i="3"/>
  <c r="K95" i="3" s="1"/>
  <c r="L95" i="3" s="1"/>
  <c r="I65" i="3"/>
  <c r="K65" i="3" s="1"/>
  <c r="O65" i="3" s="1"/>
  <c r="I80" i="3"/>
  <c r="K80" i="3" s="1"/>
  <c r="O80" i="3" s="1"/>
  <c r="O94" i="3"/>
  <c r="P93" i="3"/>
  <c r="E23" i="4" s="1"/>
  <c r="R91" i="3"/>
  <c r="P90" i="3"/>
  <c r="E20" i="4" s="1"/>
  <c r="P79" i="3"/>
  <c r="D24" i="4" s="1"/>
  <c r="R77" i="3"/>
  <c r="P78" i="3"/>
  <c r="D23" i="4" s="1"/>
  <c r="R76" i="3"/>
  <c r="P77" i="3"/>
  <c r="D22" i="4" s="1"/>
  <c r="P66" i="3"/>
  <c r="C26" i="4" s="1"/>
  <c r="R64" i="3"/>
  <c r="P81" i="3"/>
  <c r="D26" i="4" s="1"/>
  <c r="R79" i="3"/>
  <c r="E98" i="3"/>
  <c r="O64" i="3"/>
  <c r="L64" i="3"/>
  <c r="L93" i="3"/>
  <c r="L81" i="3"/>
  <c r="L77" i="3"/>
  <c r="E83" i="3"/>
  <c r="L79" i="3"/>
  <c r="O96" i="3"/>
  <c r="K89" i="3"/>
  <c r="K59" i="3"/>
  <c r="L75" i="3"/>
  <c r="L92" i="3"/>
  <c r="L90" i="3"/>
  <c r="D8" i="4"/>
  <c r="E8" i="4"/>
  <c r="C8" i="4"/>
  <c r="L94" i="3"/>
  <c r="O60" i="3"/>
  <c r="K63" i="3"/>
  <c r="O63" i="3" s="1"/>
  <c r="L66" i="3"/>
  <c r="E68" i="3"/>
  <c r="K62" i="3"/>
  <c r="O62" i="3" s="1"/>
  <c r="P62" i="3" s="1"/>
  <c r="C22" i="4" s="1"/>
  <c r="L80" i="3" l="1"/>
  <c r="P94" i="3"/>
  <c r="E24" i="4" s="1"/>
  <c r="R92" i="3"/>
  <c r="P80" i="3"/>
  <c r="D25" i="4" s="1"/>
  <c r="R78" i="3"/>
  <c r="P65" i="3"/>
  <c r="C25" i="4" s="1"/>
  <c r="R63" i="3"/>
  <c r="P64" i="3"/>
  <c r="C24" i="4" s="1"/>
  <c r="R62" i="3"/>
  <c r="P63" i="3"/>
  <c r="C23" i="4" s="1"/>
  <c r="R61" i="3"/>
  <c r="P60" i="3"/>
  <c r="C20" i="4" s="1"/>
  <c r="P96" i="3"/>
  <c r="E26" i="4" s="1"/>
  <c r="R94" i="3"/>
  <c r="O95" i="3"/>
  <c r="L89" i="3"/>
  <c r="O89" i="3"/>
  <c r="R89" i="3" s="1"/>
  <c r="K74" i="3"/>
  <c r="O59" i="3"/>
  <c r="L59" i="3"/>
  <c r="L63" i="3"/>
  <c r="L65" i="3"/>
  <c r="L62" i="3"/>
  <c r="P95" i="3" l="1"/>
  <c r="E25" i="4" s="1"/>
  <c r="R93" i="3"/>
  <c r="P59" i="3"/>
  <c r="R59" i="3"/>
  <c r="L74" i="3"/>
  <c r="O74" i="3"/>
  <c r="R74" i="3" s="1"/>
  <c r="C19" i="4" l="1"/>
  <c r="P89" i="3"/>
  <c r="P74" i="3"/>
  <c r="E19" i="4" l="1"/>
  <c r="D19" i="4"/>
  <c r="I61" i="3" l="1"/>
  <c r="I68" i="3"/>
  <c r="H17" i="3"/>
  <c r="G11" i="3"/>
  <c r="I76" i="3" s="1"/>
  <c r="G17" i="3"/>
  <c r="K76" i="3" l="1"/>
  <c r="K83" i="3" s="1"/>
  <c r="O76" i="3"/>
  <c r="L76" i="3"/>
  <c r="L83" i="3" s="1"/>
  <c r="D9" i="4" s="1"/>
  <c r="D13" i="4" s="1"/>
  <c r="I83" i="3"/>
  <c r="I91" i="3"/>
  <c r="K61" i="3"/>
  <c r="K68" i="3" s="1"/>
  <c r="L61" i="3" l="1"/>
  <c r="L68" i="3" s="1"/>
  <c r="C9" i="4" s="1"/>
  <c r="C13" i="4" s="1"/>
  <c r="I98" i="3"/>
  <c r="K91" i="3"/>
  <c r="K98" i="3" s="1"/>
  <c r="L91" i="3"/>
  <c r="L98" i="3" s="1"/>
  <c r="E9" i="4" s="1"/>
  <c r="E13" i="4" s="1"/>
  <c r="O83" i="3"/>
  <c r="R75" i="3"/>
  <c r="P76" i="3"/>
  <c r="O61" i="3"/>
  <c r="O91" i="3" l="1"/>
  <c r="P61" i="3"/>
  <c r="R60" i="3"/>
  <c r="O68" i="3"/>
  <c r="P83" i="3"/>
  <c r="D10" i="4" s="1"/>
  <c r="D12" i="4" s="1"/>
  <c r="D21" i="4"/>
  <c r="D27" i="4" s="1"/>
  <c r="D28" i="4" s="1"/>
  <c r="C21" i="4" l="1"/>
  <c r="C27" i="4" s="1"/>
  <c r="C28" i="4" s="1"/>
  <c r="P68" i="3"/>
  <c r="C10" i="4" s="1"/>
  <c r="C12" i="4" s="1"/>
  <c r="P91" i="3"/>
  <c r="R90" i="3"/>
  <c r="O98" i="3"/>
  <c r="E21" i="4" l="1"/>
  <c r="E27" i="4" s="1"/>
  <c r="P98" i="3"/>
  <c r="E10" i="4" s="1"/>
  <c r="E12" i="4" s="1"/>
  <c r="E28" i="4" l="1"/>
</calcChain>
</file>

<file path=xl/sharedStrings.xml><?xml version="1.0" encoding="utf-8"?>
<sst xmlns="http://schemas.openxmlformats.org/spreadsheetml/2006/main" count="391" uniqueCount="153">
  <si>
    <t>Schéma directeur / Plan stratégique à 10 ans cloud et datacenters</t>
  </si>
  <si>
    <t>Modélisation de la demande IT Horizon 2035</t>
  </si>
  <si>
    <t>Inputs &amp; Hypothèses</t>
  </si>
  <si>
    <t>A.</t>
  </si>
  <si>
    <t>Baseline 2026</t>
  </si>
  <si>
    <t>Bloc</t>
  </si>
  <si>
    <t>Unité</t>
  </si>
  <si>
    <t>Baseline IT 2026</t>
  </si>
  <si>
    <t>Source / commentaire</t>
  </si>
  <si>
    <t>DSP</t>
  </si>
  <si>
    <t>kW</t>
  </si>
  <si>
    <t>Hypothèse RB sur la base des entretiens</t>
  </si>
  <si>
    <t>DENJS</t>
  </si>
  <si>
    <t>APDP</t>
  </si>
  <si>
    <t>DITN</t>
  </si>
  <si>
    <t>CHPG</t>
  </si>
  <si>
    <t>Monaco Telecom – besoins propres</t>
  </si>
  <si>
    <t>Finance</t>
  </si>
  <si>
    <t>voir onglet calcul</t>
  </si>
  <si>
    <t>à calculer à partir du modèle</t>
  </si>
  <si>
    <t>Privé hors finance</t>
  </si>
  <si>
    <t>Driver / volume 2026</t>
  </si>
  <si>
    <t>agents</t>
  </si>
  <si>
    <t>kW capacité commerciale</t>
  </si>
  <si>
    <t>Hypothèse RB sur la base des entretiens (10% de la capa commerciale installée)</t>
  </si>
  <si>
    <t>salariés</t>
  </si>
  <si>
    <t>60 454 salariés privés – 4 534 finance (IMSEE, 2024)</t>
  </si>
  <si>
    <t>B.</t>
  </si>
  <si>
    <t>Hypothèses hors DSP, CHPG</t>
  </si>
  <si>
    <t>Hypothèse</t>
  </si>
  <si>
    <t>Scénario Bas</t>
  </si>
  <si>
    <t>Scénario Central</t>
  </si>
  <si>
    <t>Scénario 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</si>
  <si>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</si>
  <si>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</si>
  <si>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</si>
  <si>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</si>
  <si>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</si>
  <si>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</si>
  <si>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Croissance annuelle intensité numérique hors IA – public</t>
  </si>
  <si>
    <t>Hypothèse de travail – besoin IT / utilisateur</t>
  </si>
  <si>
    <t>Croissance annuelle intensité numérique hors IA – finance</t>
  </si>
  <si>
    <t>Hypothèse de travail – finance plus data-intensive</t>
  </si>
  <si>
    <t>Croissance annuelle intensité numérique hors IA – hors finance</t>
  </si>
  <si>
    <t>Surcouche IA 2035 – public</t>
  </si>
  <si>
    <t>%</t>
  </si>
  <si>
    <t>Surcouche IA 2035 – finance</t>
  </si>
  <si>
    <t>Surcouche IA 2035 – hors finance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</si>
  <si>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</si>
  <si>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</si>
  <si>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</si>
  <si>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</si>
  <si>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</si>
  <si>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</si>
  <si>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</si>
  <si>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</si>
  <si>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</si>
  <si>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</si>
  <si>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</si>
  <si>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</si>
  <si>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C.</t>
  </si>
  <si>
    <t>Hypothèses DSP – applications métier (vidéo)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</si>
  <si>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</si>
  <si>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</si>
  <si>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</si>
  <si>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</si>
  <si>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</si>
  <si>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</si>
  <si>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</si>
  <si>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</si>
  <si>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</si>
  <si>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</si>
  <si>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</si>
  <si>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</si>
  <si>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</si>
  <si>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</si>
  <si>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</si>
  <si>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</si>
  <si>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</si>
  <si>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</si>
  <si>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</si>
  <si>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D.</t>
  </si>
  <si>
    <t>Hypothèses CHPG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</si>
  <si>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</si>
  <si>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</si>
  <si>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</si>
  <si>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</si>
  <si>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</si>
  <si>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</si>
  <si>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</si>
  <si>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</si>
  <si>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</si>
  <si>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</si>
  <si>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</si>
  <si>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</si>
  <si>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</si>
  <si>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</si>
  <si>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</si>
  <si>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Calculs</t>
  </si>
  <si>
    <t>Baseline besoins d'hébergement 2026</t>
  </si>
  <si>
    <t>Métier 2026</t>
  </si>
  <si>
    <t>Non-métier 2026 (kW)</t>
  </si>
  <si>
    <t>Monaco Telecom</t>
  </si>
  <si>
    <t>TOTAL</t>
  </si>
  <si>
    <t>Effectifs / driver</t>
  </si>
  <si>
    <t>W IT / utilisateur</t>
  </si>
  <si>
    <t>Commentaire</t>
  </si>
  <si>
    <t>W IT / Utilisateur</t>
  </si>
  <si>
    <t>DSP : résiduel vidéo après socle agents</t>
  </si>
  <si>
    <t>n.a.</t>
  </si>
  <si>
    <t>Projection générique public</t>
  </si>
  <si>
    <t>CHPG : activité + intensité + digitalisation métier</t>
  </si>
  <si>
    <t>Besoins propres uniquement</t>
  </si>
  <si>
    <t>Effectifs × W/salarié</t>
  </si>
  <si>
    <t>Hypothèses par scénario</t>
  </si>
  <si>
    <t>W</t>
  </si>
  <si>
    <t>Projection 2035 – besoin IT généré et demande adressable</t>
  </si>
  <si>
    <t>1.</t>
  </si>
  <si>
    <t>Scénario bas</t>
  </si>
  <si>
    <t>Croissance activité / effectifs</t>
  </si>
  <si>
    <t>Croissance intensité</t>
  </si>
  <si>
    <t>Facteur de croissance métier</t>
  </si>
  <si>
    <t>Besoin hors IA 2035</t>
  </si>
  <si>
    <t>Surcouche IA</t>
  </si>
  <si>
    <t>Besoin IA</t>
  </si>
  <si>
    <t>Besoin total 2035</t>
  </si>
  <si>
    <t>Adressable socle [%]</t>
  </si>
  <si>
    <t>Adressable IA [%]</t>
  </si>
  <si>
    <t>Demande adressable 2035 [kW IT]</t>
  </si>
  <si>
    <t>Demande adressable 2035 [MW IT]</t>
  </si>
  <si>
    <t>2.</t>
  </si>
  <si>
    <t>Scénario central</t>
  </si>
  <si>
    <t>3.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</si>
  <si>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</si>
  <si>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</si>
  <si>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</si>
  <si>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</si>
  <si>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Bas</t>
  </si>
  <si>
    <t>Central</t>
  </si>
  <si>
    <t>Haut</t>
  </si>
  <si>
    <t>Besoin IT total généré 2026 (MW IT)</t>
  </si>
  <si>
    <t>Besoin IT total généré 2035 (MW IT)</t>
  </si>
  <si>
    <t>Demande adressable Monaco 2035 (MW IT)</t>
  </si>
  <si>
    <t>Taux adressable moyen</t>
  </si>
  <si>
    <t>Croissance besoin généré 2026–2035 (x)</t>
  </si>
  <si>
    <t>B. Demande adressable 2035 par bloc d'entités</t>
  </si>
  <si>
    <t>Ctrl</t>
  </si>
  <si>
    <t>Autres entités publiques (incl. APDP, Caisses sociales, DENJS)</t>
  </si>
  <si>
    <t>Corps Sapeurs Pompiers</t>
  </si>
  <si>
    <t>E.</t>
  </si>
  <si>
    <t>Hypothèses Pompiers</t>
  </si>
  <si>
    <t>Croissance annuelle activité Pompiers</t>
  </si>
  <si>
    <t>Part adressable Monaco –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</si>
</sst>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</numFmts>
  <fonts count="27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1" fontId="8" fillId="0" borderId="0" xfId="1" applyNumberFormat="1" applyFont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5" borderId="1" xfId="4" applyFont="1" applyFill="1"/>
    <xf numFmtId="0" fontId="3" fillId="5" borderId="6" xfId="4" applyFont="1" applyFill="1" applyBorder="1"/>
    <xf numFmtId="0" fontId="18" fillId="6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0" fontId="22" fillId="6" borderId="0" xfId="0" applyFont="1" applyFill="1" applyAlignment="1">
      <alignment vertical="top"/>
    </xf>
    <xf numFmtId="0" fontId="22" fillId="6" borderId="0" xfId="0" applyFont="1" applyFill="1" applyAlignment="1">
      <alignment horizontal="right" vertical="top"/>
    </xf>
    <xf numFmtId="0" fontId="23" fillId="6" borderId="0" xfId="0" applyFont="1" applyFill="1" applyAlignment="1">
      <alignment vertical="top"/>
    </xf>
    <xf numFmtId="0" fontId="24" fillId="6" borderId="1" xfId="6" applyFont="1" applyFill="1">
      <alignment horizontal="left" vertical="top"/>
    </xf>
    <xf numFmtId="0" fontId="25" fillId="6" borderId="0" xfId="0" applyFont="1" applyFill="1" applyAlignment="1">
      <alignment horizontal="right" vertical="top"/>
    </xf>
    <xf numFmtId="0" fontId="25" fillId="6" borderId="0" xfId="0" applyFont="1" applyFill="1" applyAlignment="1">
      <alignment vertical="top"/>
    </xf>
    <xf numFmtId="0" fontId="23" fillId="6" borderId="5" xfId="0" applyFont="1" applyFill="1" applyBorder="1" applyAlignment="1">
      <alignment vertical="top"/>
    </xf>
    <xf numFmtId="0" fontId="25" fillId="6" borderId="5" xfId="0" applyFont="1" applyFill="1" applyBorder="1" applyAlignment="1">
      <alignment horizontal="right" vertical="top"/>
    </xf>
    <xf numFmtId="0" fontId="25" fillId="6" borderId="5" xfId="0" applyFont="1" applyFill="1" applyBorder="1" applyAlignment="1">
      <alignment vertical="top"/>
    </xf>
    <xf numFmtId="0" fontId="22" fillId="6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7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0" fontId="5" fillId="3" borderId="0" xfId="0" applyFont="1" applyFill="1"/>
    <xf numFmtId="0" fontId="4" fillId="0" borderId="0" xfId="0" applyFont="1" applyFill="1"/>
    <xf numFmtId="1" fontId="10" fillId="4" borderId="0" xfId="1" applyNumberFormat="1" applyFont="1" applyFill="1"/>
    <xf numFmtId="2" fontId="4" fillId="0" borderId="0" xfId="0" applyNumberFormat="1" applyFont="1" applyFill="1"/>
    <xf numFmtId="164" fontId="4" fillId="0" borderId="0" xfId="0" applyNumberFormat="1" applyFont="1" applyFill="1"/>
    <xf numFmtId="171" fontId="22" fillId="0" borderId="0" xfId="0" applyNumberFormat="1" applyFont="1" applyFill="1"/>
    <xf numFmtId="0" fontId="3" fillId="0" borderId="0" xfId="0" applyFont="1" applyFill="1"/>
    <xf numFmtId="3" fontId="8" fillId="0" borderId="0" xfId="0" applyNumberFormat="1" applyFont="1" applyFill="1"/>
    <xf numFmtId="3" fontId="9" fillId="0" borderId="0" xfId="0" applyNumberFormat="1" applyFont="1" applyFill="1"/>
    <xf numFmtId="3" fontId="4" fillId="0" borderId="0" xfId="0" applyNumberFormat="1" applyFont="1" applyFill="1"/>
    <xf numFmtId="164" fontId="9" fillId="0" borderId="0" xfId="0" applyNumberFormat="1" applyFont="1" applyFill="1"/>
    <xf numFmtId="165" fontId="9" fillId="0" borderId="0" xfId="0" applyNumberFormat="1" applyFont="1" applyFill="1"/>
    <xf numFmtId="3" fontId="8" fillId="0" borderId="1" xfId="0" applyNumberFormat="1" applyFont="1" applyBorder="1"/>
    <xf numFmtId="3" fontId="4" fillId="0" borderId="1" xfId="0" applyNumberFormat="1" applyFont="1" applyBorder="1"/>
  </cellXfs>
  <cellStyles count="8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4" xfId="2" xr:uid="{B311A80E-396E-4093-B62D-50741E785FFC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'3_Output'!$C$19:$C$27</c:f>
              <c:numCache>
                <c:formatCode>0.00</c:formatCode>
                <c:ptCount val="9"/>
                <c:pt idx="0">
                  <c:v>0.3523291081845818</c:v>
                </c:pt>
                <c:pt idx="1">
                  <c:v>2.4200624514601796E-2</c:v>
                </c:pt>
                <c:pt idx="2">
                  <c:v>1.794969561753847E-2</c:v>
                </c:pt>
                <c:pt idx="3">
                  <c:v>9.6802498058407183E-2</c:v>
                </c:pt>
                <c:pt idx="4">
                  <c:v>0.12565758549425979</c:v>
                </c:pt>
                <c:pt idx="5">
                  <c:v>0.19217088503446758</c:v>
                </c:pt>
                <c:pt idx="6">
                  <c:v>0.10175247578628688</c:v>
                </c:pt>
                <c:pt idx="7">
                  <c:v>0.21051316577768281</c:v>
                </c:pt>
                <c:pt idx="8">
                  <c:v>1.1213760384678262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'3_Output'!$D$19:$D$27</c:f>
              <c:numCache>
                <c:formatCode>0.00</c:formatCode>
                <c:ptCount val="9"/>
                <c:pt idx="0">
                  <c:v>0.38532602837246177</c:v>
                </c:pt>
                <c:pt idx="1">
                  <c:v>3.2452720028336102E-2</c:v>
                </c:pt>
                <c:pt idx="2">
                  <c:v>2.7426518767799252E-2</c:v>
                </c:pt>
                <c:pt idx="3">
                  <c:v>0.12981088011334441</c:v>
                </c:pt>
                <c:pt idx="4">
                  <c:v>0.20561303865520011</c:v>
                </c:pt>
                <c:pt idx="5">
                  <c:v>0.2489034306760457</c:v>
                </c:pt>
                <c:pt idx="6">
                  <c:v>0.26483919796215277</c:v>
                </c:pt>
                <c:pt idx="7">
                  <c:v>0.61185584239846225</c:v>
                </c:pt>
                <c:pt idx="8">
                  <c:v>1.9062276569738024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'3_Output'!$E$19:$E$27</c:f>
              <c:numCache>
                <c:formatCode>0.00</c:formatCode>
                <c:ptCount val="9"/>
                <c:pt idx="0">
                  <c:v>0.46835826395525032</c:v>
                </c:pt>
                <c:pt idx="1">
                  <c:v>4.804171465525512E-2</c:v>
                </c:pt>
                <c:pt idx="2">
                  <c:v>8.2290209673533329E-2</c:v>
                </c:pt>
                <c:pt idx="3">
                  <c:v>0.19216685862102048</c:v>
                </c:pt>
                <c:pt idx="4">
                  <c:v>0.53661715660799991</c:v>
                </c:pt>
                <c:pt idx="5">
                  <c:v>0.34885675872739103</c:v>
                </c:pt>
                <c:pt idx="6">
                  <c:v>0.61080513811682102</c:v>
                </c:pt>
                <c:pt idx="7">
                  <c:v>1.6428936026152947</c:v>
                </c:pt>
                <c:pt idx="8">
                  <c:v>3.9300297029725657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27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1" customWidth="1"/>
    <col min="2" max="3" width="3.19921875" style="51" customWidth="1"/>
    <col min="4" max="4" width="27.3984375" style="51" customWidth="1"/>
    <col min="5" max="5" width="8" style="51"/>
    <col min="6" max="6" width="46.69921875" style="51" bestFit="1" customWidth="1"/>
    <col min="7" max="16384" width="8" style="51"/>
  </cols>
  <sheetData>
    <row r="1" spans="1:44" s="41" customFormat="1" ht="13.95" customHeight="1">
      <c r="A1" s="39"/>
      <c r="B1" s="39"/>
      <c r="C1" s="3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44" s="41" customFormat="1" ht="13.95" customHeight="1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44" s="41" customFormat="1" ht="13.95" customHeight="1">
      <c r="A3" s="39"/>
      <c r="B3" s="39"/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44" s="41" customFormat="1" ht="48.6">
      <c r="A4" s="39"/>
      <c r="B4" s="42"/>
      <c r="C4" s="42"/>
      <c r="D4" s="43" t="s">
        <v>0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44" s="41" customFormat="1" ht="45.6" customHeight="1">
      <c r="A5" s="39"/>
      <c r="B5" s="39"/>
      <c r="C5" s="39"/>
      <c r="D5" s="44" t="s">
        <v>1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44" s="41" customFormat="1" ht="31.35" customHeight="1">
      <c r="A6" s="39"/>
      <c r="B6" s="39"/>
      <c r="C6" s="39"/>
      <c r="D6" s="45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44" s="41" customFormat="1" ht="28.2">
      <c r="A7" s="39"/>
      <c r="B7" s="39"/>
      <c r="C7" s="39"/>
      <c r="D7" s="46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44" s="41" customFormat="1" ht="13.95" customHeight="1">
      <c r="A8" s="47"/>
      <c r="B8" s="47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0"/>
      <c r="AO8" s="40"/>
      <c r="AP8" s="40"/>
      <c r="AQ8" s="40"/>
      <c r="AR8" s="40"/>
    </row>
    <row r="9" spans="1:44" s="50" customFormat="1" ht="13.9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20"/>
  <sheetViews>
    <sheetView topLeftCell="A44" zoomScale="85" zoomScaleNormal="85" workbookViewId="0">
      <selection activeCell="D64" sqref="D64:M64"/>
    </sheetView>
  </sheetViews>
  <sheetFormatPr defaultColWidth="8.69921875"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19921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69921875" style="1"/>
  </cols>
  <sheetData>
    <row r="1" spans="2:16" s="55" customFormat="1" ht="10.199999999999999" customHeight="1">
      <c r="D1" s="56"/>
      <c r="E1" s="56"/>
      <c r="F1" s="56"/>
      <c r="G1" s="56"/>
      <c r="H1" s="56"/>
      <c r="J1" s="56"/>
      <c r="K1" s="56"/>
      <c r="L1" s="56"/>
      <c r="M1" s="56"/>
      <c r="N1" s="56"/>
      <c r="O1" s="56"/>
    </row>
    <row r="2" spans="2:16" s="55" customFormat="1" ht="34.200000000000003" customHeight="1">
      <c r="B2" s="58" t="s">
        <v>2</v>
      </c>
      <c r="C2" s="57"/>
      <c r="E2" s="58"/>
      <c r="F2" s="59"/>
      <c r="G2" s="59"/>
      <c r="H2" s="59"/>
      <c r="I2" s="60"/>
      <c r="J2" s="59"/>
      <c r="K2" s="59"/>
      <c r="L2" s="59"/>
      <c r="M2" s="59"/>
      <c r="N2" s="59"/>
      <c r="O2" s="59"/>
    </row>
    <row r="3" spans="2:16" s="55" customFormat="1" ht="15.6" customHeight="1">
      <c r="C3" s="57"/>
      <c r="D3" s="58"/>
      <c r="E3" s="58"/>
      <c r="F3" s="59"/>
      <c r="G3" s="59"/>
      <c r="H3" s="59"/>
      <c r="I3" s="60"/>
      <c r="J3" s="59"/>
      <c r="K3" s="59"/>
      <c r="L3" s="59"/>
      <c r="M3" s="59"/>
      <c r="N3" s="59"/>
      <c r="O3" s="59"/>
    </row>
    <row r="4" spans="2:16" s="64" customFormat="1" ht="15" customHeight="1">
      <c r="C4" s="61"/>
      <c r="D4" s="62"/>
      <c r="E4" s="62"/>
      <c r="F4" s="62"/>
      <c r="G4" s="62"/>
      <c r="H4" s="62"/>
      <c r="I4" s="63"/>
      <c r="J4" s="62"/>
      <c r="K4" s="62"/>
      <c r="L4" s="62"/>
      <c r="M4" s="62"/>
      <c r="N4" s="62"/>
      <c r="O4" s="62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2" customHeight="1">
      <c r="B6" s="3" t="s">
        <v>3</v>
      </c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</row>
    <row r="8" spans="2:16" ht="15.6" thickBot="1">
      <c r="D8" s="22" t="s">
        <v>5</v>
      </c>
      <c r="E8" s="22" t="s">
        <v>6</v>
      </c>
      <c r="F8" s="22" t="s">
        <v>7</v>
      </c>
      <c r="G8" s="22" t="s">
        <v>8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9</v>
      </c>
      <c r="E9" s="1" t="s">
        <v>10</v>
      </c>
      <c r="F9" s="9">
        <v>80</v>
      </c>
      <c r="G9" s="2" t="s">
        <v>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147</v>
      </c>
      <c r="E10" s="1" t="s">
        <v>10</v>
      </c>
      <c r="F10" s="9">
        <v>20</v>
      </c>
      <c r="G10" s="2" t="s">
        <v>11</v>
      </c>
      <c r="I10" s="2"/>
      <c r="J10" s="2"/>
      <c r="K10" s="2"/>
      <c r="L10" s="2"/>
      <c r="M10" s="2"/>
      <c r="N10" s="2"/>
      <c r="O10" s="2"/>
      <c r="P10" s="2"/>
    </row>
    <row r="11" spans="2:16">
      <c r="D11" s="72" t="s">
        <v>148</v>
      </c>
      <c r="E11" s="77" t="s">
        <v>10</v>
      </c>
      <c r="F11" s="81">
        <v>10</v>
      </c>
      <c r="G11" s="72" t="s">
        <v>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14</v>
      </c>
      <c r="E12" s="1" t="s">
        <v>10</v>
      </c>
      <c r="F12" s="9">
        <v>80</v>
      </c>
      <c r="G12" s="2" t="s">
        <v>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15</v>
      </c>
      <c r="E13" s="1" t="s">
        <v>10</v>
      </c>
      <c r="F13" s="9">
        <v>80</v>
      </c>
      <c r="G13" s="2" t="s">
        <v>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16</v>
      </c>
      <c r="E14" s="1" t="s">
        <v>10</v>
      </c>
      <c r="F14" s="9">
        <f>F25*10%</f>
        <v>160</v>
      </c>
      <c r="G14" s="2" t="s">
        <v>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17</v>
      </c>
      <c r="E15" s="1" t="s">
        <v>10</v>
      </c>
      <c r="F15" s="9" t="s">
        <v>18</v>
      </c>
      <c r="G15" s="2" t="s">
        <v>19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4" t="s">
        <v>20</v>
      </c>
      <c r="E16" s="20" t="s">
        <v>10</v>
      </c>
      <c r="F16" s="25" t="s">
        <v>18</v>
      </c>
      <c r="G16" s="24" t="s">
        <v>19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2" t="s">
        <v>5</v>
      </c>
      <c r="E19" s="22" t="s">
        <v>6</v>
      </c>
      <c r="F19" s="22" t="s">
        <v>21</v>
      </c>
      <c r="G19" s="22" t="s">
        <v>8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9</v>
      </c>
      <c r="E20" s="2" t="s">
        <v>22</v>
      </c>
      <c r="F20" s="10">
        <v>628</v>
      </c>
      <c r="G20" s="2" t="s">
        <v>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147</v>
      </c>
      <c r="E21" s="1" t="s">
        <v>10</v>
      </c>
      <c r="F21" s="10"/>
      <c r="G21" s="2" t="s">
        <v>11</v>
      </c>
      <c r="I21" s="2"/>
      <c r="J21" s="2"/>
      <c r="K21" s="2"/>
      <c r="L21" s="2"/>
      <c r="M21" s="2"/>
      <c r="N21" s="2"/>
      <c r="O21" s="2"/>
      <c r="P21" s="2"/>
    </row>
    <row r="22" spans="2:16">
      <c r="D22" s="72" t="s">
        <v>148</v>
      </c>
      <c r="E22" s="77" t="s">
        <v>10</v>
      </c>
      <c r="F22" s="82"/>
      <c r="G22" s="2" t="s">
        <v>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14</v>
      </c>
      <c r="E23" s="1" t="s">
        <v>10</v>
      </c>
      <c r="F23" s="10"/>
      <c r="G23" s="2" t="s">
        <v>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15</v>
      </c>
      <c r="E24" s="1" t="s">
        <v>10</v>
      </c>
      <c r="F24" s="10"/>
      <c r="G24" s="2" t="s">
        <v>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16</v>
      </c>
      <c r="E25" s="2" t="s">
        <v>23</v>
      </c>
      <c r="F25" s="10">
        <v>1600</v>
      </c>
      <c r="G25" s="2" t="s">
        <v>24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17</v>
      </c>
      <c r="E26" s="2" t="s">
        <v>25</v>
      </c>
      <c r="F26" s="10">
        <v>4534</v>
      </c>
      <c r="G26" s="2" t="s">
        <v>26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4" t="s">
        <v>20</v>
      </c>
      <c r="E27" s="24" t="s">
        <v>25</v>
      </c>
      <c r="F27" s="26">
        <v>55920</v>
      </c>
      <c r="G27" s="24" t="s">
        <v>26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3" t="s">
        <v>28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2" customHeight="1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2" t="s">
        <v>33</v>
      </c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11">
        <v>0</v>
      </c>
      <c r="G34" s="11">
        <v>5.0000000000000001E-3</v>
      </c>
      <c r="H34" s="11">
        <v>0.01</v>
      </c>
      <c r="I34" s="2" t="s">
        <v>36</v>
      </c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11">
        <v>0</v>
      </c>
      <c r="G35" s="11">
        <v>5.0000000000000001E-3</v>
      </c>
      <c r="H35" s="11">
        <v>0.01</v>
      </c>
      <c r="I35" s="2" t="s">
        <v>36</v>
      </c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11">
        <v>0</v>
      </c>
      <c r="G36" s="11">
        <v>5.0000000000000001E-3</v>
      </c>
      <c r="H36" s="11">
        <v>0.01</v>
      </c>
      <c r="I36" s="2" t="s">
        <v>36</v>
      </c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11">
        <v>0.02</v>
      </c>
      <c r="G37" s="11">
        <v>0.04</v>
      </c>
      <c r="H37" s="11">
        <v>0.06</v>
      </c>
      <c r="I37" s="2" t="s">
        <v>40</v>
      </c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11">
        <v>0.03</v>
      </c>
      <c r="G38" s="11">
        <v>0.05</v>
      </c>
      <c r="H38" s="11">
        <v>7.0000000000000007E-2</v>
      </c>
      <c r="I38" s="2" t="s">
        <v>42</v>
      </c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11">
        <v>0.02</v>
      </c>
      <c r="G39" s="11">
        <v>0.04</v>
      </c>
      <c r="H39" s="11">
        <v>0.06</v>
      </c>
      <c r="I39" s="2" t="s">
        <v>36</v>
      </c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11">
        <v>0.05</v>
      </c>
      <c r="G40" s="11">
        <v>0.15</v>
      </c>
      <c r="H40" s="11">
        <v>0.3</v>
      </c>
      <c r="I40" s="2" t="s">
        <v>36</v>
      </c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11">
        <v>0.1</v>
      </c>
      <c r="G41" s="11">
        <v>0.25</v>
      </c>
      <c r="H41" s="11">
        <v>0.45</v>
      </c>
      <c r="I41" s="2" t="s">
        <v>36</v>
      </c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11">
        <v>0.05</v>
      </c>
      <c r="G42" s="11">
        <v>0.15</v>
      </c>
      <c r="H42" s="11">
        <v>0.3</v>
      </c>
      <c r="I42" s="2" t="s">
        <v>36</v>
      </c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49</v>
      </c>
      <c r="F43" s="73">
        <v>80</v>
      </c>
      <c r="G43" s="73">
        <v>80</v>
      </c>
      <c r="H43" s="73">
        <v>80</v>
      </c>
      <c r="I43" s="2" t="s">
        <v>36</v>
      </c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49</v>
      </c>
      <c r="F44" s="73">
        <v>30</v>
      </c>
      <c r="G44" s="73">
        <v>30</v>
      </c>
      <c r="H44" s="73">
        <v>30</v>
      </c>
      <c r="I44" s="2" t="s">
        <v>36</v>
      </c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52</v>
      </c>
      <c r="F45" s="73">
        <v>30</v>
      </c>
      <c r="G45" s="73">
        <v>30</v>
      </c>
      <c r="H45" s="73">
        <v>30</v>
      </c>
      <c r="I45" s="2" t="s">
        <v>36</v>
      </c>
      <c r="J45" s="2"/>
      <c r="K45" s="2"/>
      <c r="L45" s="2"/>
      <c r="M45" s="2"/>
      <c r="N45" s="2"/>
      <c r="O45" s="2"/>
      <c r="P45" s="2"/>
    </row>
    <row r="46" spans="4:16">
      <c r="D46" s="72" t="s">
        <v>152</v>
      </c>
      <c r="E46" s="2" t="s">
        <v>45</v>
      </c>
      <c r="F46" s="11">
        <v>1</v>
      </c>
      <c r="G46" s="11">
        <v>1</v>
      </c>
      <c r="H46" s="11">
        <v>1</v>
      </c>
      <c r="I46" s="2" t="s">
        <v>53</v>
      </c>
      <c r="J46" s="2"/>
      <c r="K46" s="2"/>
      <c r="L46" s="2"/>
      <c r="M46" s="2"/>
      <c r="N46" s="2"/>
      <c r="O46" s="2"/>
      <c r="P46" s="2"/>
    </row>
    <row r="47" spans="4:16">
      <c r="D47" s="2" t="s">
        <v>54</v>
      </c>
      <c r="E47" s="2" t="s">
        <v>45</v>
      </c>
      <c r="F47" s="11">
        <v>0.2</v>
      </c>
      <c r="G47" s="11">
        <v>0.35</v>
      </c>
      <c r="H47" s="11">
        <v>0.5</v>
      </c>
      <c r="I47" s="2" t="s">
        <v>36</v>
      </c>
      <c r="J47" s="2"/>
      <c r="K47" s="2"/>
      <c r="L47" s="2"/>
      <c r="M47" s="2"/>
      <c r="N47" s="2"/>
      <c r="O47" s="2"/>
      <c r="P47" s="2"/>
    </row>
    <row r="48" spans="4:16">
      <c r="D48" s="2" t="s">
        <v>55</v>
      </c>
      <c r="E48" s="2" t="s">
        <v>45</v>
      </c>
      <c r="F48" s="11">
        <v>0.1</v>
      </c>
      <c r="G48" s="11">
        <v>0.2</v>
      </c>
      <c r="H48" s="11">
        <v>0.35</v>
      </c>
      <c r="I48" s="2" t="s">
        <v>36</v>
      </c>
      <c r="J48" s="2"/>
      <c r="K48" s="2"/>
      <c r="L48" s="2"/>
      <c r="M48" s="2"/>
      <c r="N48" s="2"/>
      <c r="O48" s="2"/>
      <c r="P48" s="2"/>
    </row>
    <row r="49" spans="2:16">
      <c r="D49" s="2" t="s">
        <v>56</v>
      </c>
      <c r="E49" s="2" t="s">
        <v>45</v>
      </c>
      <c r="F49" s="11">
        <v>0.25</v>
      </c>
      <c r="G49" s="11">
        <v>0.6</v>
      </c>
      <c r="H49" s="11">
        <v>1</v>
      </c>
      <c r="I49" s="2" t="s">
        <v>57</v>
      </c>
      <c r="J49" s="2"/>
      <c r="K49" s="2"/>
      <c r="L49" s="2"/>
      <c r="M49" s="2"/>
      <c r="N49" s="2"/>
      <c r="O49" s="2"/>
      <c r="P49" s="2"/>
    </row>
    <row r="50" spans="2:16">
      <c r="D50" s="2" t="s">
        <v>58</v>
      </c>
      <c r="E50" s="2" t="s">
        <v>45</v>
      </c>
      <c r="F50" s="11">
        <v>0.15</v>
      </c>
      <c r="G50" s="11">
        <v>0.4</v>
      </c>
      <c r="H50" s="11">
        <v>0.75</v>
      </c>
      <c r="I50" s="2" t="s">
        <v>57</v>
      </c>
      <c r="J50" s="2"/>
      <c r="K50" s="2"/>
      <c r="L50" s="2"/>
      <c r="M50" s="2"/>
      <c r="N50" s="2"/>
      <c r="O50" s="2"/>
      <c r="P50" s="2"/>
    </row>
    <row r="51" spans="2:16" ht="15.6" thickBot="1">
      <c r="D51" s="24" t="s">
        <v>59</v>
      </c>
      <c r="E51" s="24" t="s">
        <v>45</v>
      </c>
      <c r="F51" s="27">
        <v>0.1</v>
      </c>
      <c r="G51" s="27">
        <v>0.3</v>
      </c>
      <c r="H51" s="27">
        <v>0.6</v>
      </c>
      <c r="I51" s="24" t="s">
        <v>57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2" customHeight="1">
      <c r="B54" s="3" t="s">
        <v>60</v>
      </c>
      <c r="D54" s="3" t="s">
        <v>61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</row>
    <row r="56" spans="2:16" ht="15.6" thickBot="1">
      <c r="D56" s="22" t="s">
        <v>29</v>
      </c>
      <c r="E56" s="22" t="s">
        <v>6</v>
      </c>
      <c r="F56" s="22" t="s">
        <v>62</v>
      </c>
      <c r="G56" s="22" t="s">
        <v>63</v>
      </c>
      <c r="H56" s="22" t="s">
        <v>33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64</v>
      </c>
      <c r="E57" s="2" t="s">
        <v>65</v>
      </c>
      <c r="F57" s="12">
        <v>1300</v>
      </c>
      <c r="G57" s="2" t="s">
        <v>66</v>
      </c>
      <c r="H57" s="2" t="s">
        <v>67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68</v>
      </c>
      <c r="E58" s="2" t="s">
        <v>69</v>
      </c>
      <c r="F58" s="12">
        <v>50</v>
      </c>
      <c r="G58" s="2" t="s">
        <v>66</v>
      </c>
      <c r="H58" s="2" t="s">
        <v>67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70</v>
      </c>
      <c r="E59" s="2" t="s">
        <v>65</v>
      </c>
      <c r="F59" s="13">
        <f>F57+9*F58</f>
        <v>1750</v>
      </c>
      <c r="G59" s="2" t="s">
        <v>71</v>
      </c>
      <c r="H59" s="2" t="s">
        <v>72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73</v>
      </c>
      <c r="E60" s="2" t="s">
        <v>74</v>
      </c>
      <c r="F60" s="12">
        <v>2</v>
      </c>
      <c r="G60" s="2" t="s">
        <v>66</v>
      </c>
      <c r="H60" s="2" t="s">
        <v>67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75</v>
      </c>
      <c r="E61" s="2" t="s">
        <v>74</v>
      </c>
      <c r="F61" s="12">
        <v>8</v>
      </c>
      <c r="G61" s="2" t="s">
        <v>66</v>
      </c>
      <c r="H61" s="2" t="s">
        <v>76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4" t="s">
        <v>77</v>
      </c>
      <c r="E62" s="24" t="s">
        <v>78</v>
      </c>
      <c r="F62" s="28">
        <v>3.9531249999999996</v>
      </c>
      <c r="G62" s="24" t="s">
        <v>79</v>
      </c>
      <c r="H62" s="65" t="s">
        <v>80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2" customHeight="1">
      <c r="B64" s="3" t="s">
        <v>81</v>
      </c>
      <c r="D64" s="71" t="s">
        <v>82</v>
      </c>
      <c r="E64" s="71"/>
      <c r="F64" s="71"/>
      <c r="G64" s="71"/>
      <c r="H64" s="71"/>
      <c r="I64" s="71"/>
      <c r="J64" s="71"/>
      <c r="K64" s="71"/>
      <c r="L64" s="71"/>
      <c r="M64" s="71"/>
      <c r="N64" s="2"/>
      <c r="O64" s="2"/>
      <c r="P64" s="2"/>
    </row>
    <row r="65" spans="2:16" ht="16.2" customHeight="1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"/>
      <c r="O65" s="2"/>
      <c r="P65" s="2"/>
    </row>
    <row r="66" spans="2:16" ht="15.6" thickBot="1">
      <c r="D66" s="22" t="s">
        <v>29</v>
      </c>
      <c r="E66" s="22" t="s">
        <v>6</v>
      </c>
      <c r="F66" s="22" t="s">
        <v>30</v>
      </c>
      <c r="G66" s="22" t="s">
        <v>31</v>
      </c>
      <c r="H66" s="22" t="s">
        <v>32</v>
      </c>
      <c r="I66" s="2"/>
      <c r="J66" s="2"/>
      <c r="K66" s="2"/>
      <c r="L66" s="2"/>
      <c r="M66" s="2"/>
      <c r="N66" s="2"/>
      <c r="O66" s="2"/>
      <c r="P66" s="2"/>
    </row>
    <row r="67" spans="2:16">
      <c r="D67" s="2" t="s">
        <v>83</v>
      </c>
      <c r="E67" s="2" t="s">
        <v>35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2:16" ht="15.6" thickBot="1">
      <c r="D68" s="24" t="s">
        <v>84</v>
      </c>
      <c r="E68" s="24" t="s">
        <v>45</v>
      </c>
      <c r="F68" s="27">
        <v>0.05</v>
      </c>
      <c r="G68" s="27">
        <v>0.1</v>
      </c>
      <c r="H68" s="27">
        <v>0.2</v>
      </c>
      <c r="I68" s="2"/>
      <c r="J68" s="2"/>
      <c r="K68" s="2"/>
      <c r="L68" s="2"/>
      <c r="M68" s="2"/>
      <c r="N68" s="2"/>
      <c r="O68" s="2"/>
      <c r="P68" s="2"/>
    </row>
    <row r="69" spans="2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6">
      <c r="B70" s="3" t="s">
        <v>149</v>
      </c>
      <c r="D70" s="71" t="s">
        <v>150</v>
      </c>
      <c r="E70" s="71"/>
      <c r="F70" s="71"/>
      <c r="G70" s="71"/>
      <c r="H70" s="71"/>
      <c r="I70" s="71"/>
      <c r="J70" s="71"/>
      <c r="K70" s="71"/>
      <c r="L70" s="71"/>
      <c r="M70" s="71"/>
      <c r="N70" s="2"/>
      <c r="O70" s="2"/>
      <c r="P70" s="2"/>
    </row>
    <row r="71" spans="2:16"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"/>
      <c r="O71" s="2"/>
      <c r="P71" s="2"/>
    </row>
    <row r="72" spans="2:16" ht="15.6" thickBot="1">
      <c r="D72" s="22" t="s">
        <v>29</v>
      </c>
      <c r="E72" s="22" t="s">
        <v>6</v>
      </c>
      <c r="F72" s="22" t="s">
        <v>30</v>
      </c>
      <c r="G72" s="22" t="s">
        <v>31</v>
      </c>
      <c r="H72" s="22" t="s">
        <v>32</v>
      </c>
      <c r="I72" s="2"/>
      <c r="J72" s="2"/>
      <c r="K72" s="2"/>
      <c r="L72" s="2"/>
      <c r="M72" s="2"/>
      <c r="N72" s="2"/>
      <c r="O72" s="2"/>
      <c r="P72" s="2"/>
    </row>
    <row r="73" spans="2:16">
      <c r="D73" s="2" t="s">
        <v>151</v>
      </c>
      <c r="E73" s="2" t="s">
        <v>35</v>
      </c>
      <c r="F73" s="11">
        <v>0</v>
      </c>
      <c r="G73" s="11">
        <v>5.0000000000000001E-3</v>
      </c>
      <c r="H73" s="11">
        <v>0.01</v>
      </c>
      <c r="I73" s="2"/>
      <c r="J73" s="2"/>
      <c r="K73" s="2"/>
      <c r="L73" s="2"/>
      <c r="M73" s="2"/>
      <c r="N73" s="2"/>
      <c r="O73" s="2"/>
      <c r="P73" s="2"/>
    </row>
    <row r="74" spans="2:16" ht="15.6" thickBot="1">
      <c r="D74" s="24" t="s">
        <v>84</v>
      </c>
      <c r="E74" s="24" t="s">
        <v>45</v>
      </c>
      <c r="F74" s="27">
        <v>7.4999999999999997E-2</v>
      </c>
      <c r="G74" s="27">
        <v>0.12</v>
      </c>
      <c r="H74" s="27">
        <v>0.25</v>
      </c>
      <c r="I74" s="2"/>
      <c r="J74" s="2"/>
      <c r="K74" s="2"/>
      <c r="L74" s="2"/>
      <c r="M74" s="2"/>
      <c r="N74" s="2"/>
      <c r="O74" s="2"/>
      <c r="P74" s="2"/>
    </row>
    <row r="75" spans="2:16" ht="15.6" thickTop="1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2:16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2:16" ht="16.2" customHeight="1">
      <c r="D77" s="71" t="s">
        <v>85</v>
      </c>
      <c r="E77" s="71"/>
      <c r="F77" s="71"/>
      <c r="G77" s="71"/>
      <c r="H77" s="71"/>
      <c r="I77" s="71"/>
      <c r="J77" s="71"/>
      <c r="K77" s="71"/>
      <c r="L77" s="71"/>
      <c r="M77" s="71"/>
      <c r="N77" s="2"/>
      <c r="O77" s="2"/>
      <c r="P77" s="2"/>
    </row>
    <row r="78" spans="2:16">
      <c r="D78" s="2" t="s">
        <v>86</v>
      </c>
      <c r="E78" s="12" t="s">
        <v>87</v>
      </c>
      <c r="F78" s="2" t="s">
        <v>88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2:16">
      <c r="D79" s="2" t="s">
        <v>89</v>
      </c>
      <c r="E79" s="12" t="s">
        <v>90</v>
      </c>
      <c r="F79" s="2" t="s">
        <v>91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2:16">
      <c r="D80" s="2" t="s">
        <v>92</v>
      </c>
      <c r="E80" s="12" t="s">
        <v>93</v>
      </c>
      <c r="F80" s="2" t="s">
        <v>94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 ht="15.6" thickBot="1">
      <c r="D81" s="24" t="s">
        <v>95</v>
      </c>
      <c r="E81" s="29" t="s">
        <v>96</v>
      </c>
      <c r="F81" s="24" t="s">
        <v>97</v>
      </c>
      <c r="G81" s="24"/>
      <c r="H81" s="24"/>
      <c r="I81" s="2"/>
      <c r="J81" s="2"/>
      <c r="K81" s="2"/>
      <c r="L81" s="2"/>
      <c r="M81" s="2"/>
      <c r="N81" s="2"/>
      <c r="O81" s="2"/>
      <c r="P81" s="2"/>
    </row>
    <row r="82" spans="4:16" ht="15.6" thickTop="1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64:M64"/>
    <mergeCell ref="D77:M77"/>
    <mergeCell ref="D70:M70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opLeftCell="A30" zoomScale="55" zoomScaleNormal="55" workbookViewId="0">
      <selection activeCell="D74" sqref="D74:D80"/>
    </sheetView>
  </sheetViews>
  <sheetFormatPr defaultColWidth="8.69921875"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69921875" style="1" customWidth="1"/>
    <col min="9" max="9" width="18" style="1" customWidth="1"/>
    <col min="10" max="10" width="41.69921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19921875" style="1" bestFit="1" customWidth="1"/>
    <col min="17" max="16384" width="8.69921875" style="1"/>
  </cols>
  <sheetData>
    <row r="1" spans="2:18" s="55" customFormat="1" ht="10.199999999999999" customHeight="1">
      <c r="F1" s="56"/>
      <c r="G1" s="56"/>
      <c r="H1" s="56"/>
      <c r="I1" s="56"/>
      <c r="J1" s="56"/>
      <c r="L1" s="56"/>
      <c r="M1" s="56"/>
      <c r="N1" s="56"/>
      <c r="O1" s="56"/>
      <c r="P1" s="56"/>
      <c r="Q1" s="56"/>
    </row>
    <row r="2" spans="2:18" s="55" customFormat="1" ht="34.200000000000003" customHeight="1">
      <c r="B2" s="58" t="s">
        <v>98</v>
      </c>
      <c r="D2" s="58"/>
      <c r="E2" s="57"/>
      <c r="G2" s="58"/>
      <c r="H2" s="59"/>
      <c r="I2" s="59"/>
      <c r="J2" s="59"/>
      <c r="K2" s="60"/>
      <c r="L2" s="59"/>
      <c r="M2" s="59"/>
      <c r="N2" s="59"/>
      <c r="O2" s="59"/>
      <c r="P2" s="59"/>
      <c r="Q2" s="59"/>
    </row>
    <row r="3" spans="2:18" s="55" customFormat="1" ht="15.6" customHeight="1">
      <c r="E3" s="57"/>
      <c r="F3" s="58"/>
      <c r="G3" s="58"/>
      <c r="H3" s="59"/>
      <c r="I3" s="59"/>
      <c r="J3" s="59"/>
      <c r="K3" s="60"/>
      <c r="L3" s="59"/>
      <c r="M3" s="59"/>
      <c r="N3" s="59"/>
      <c r="O3" s="59"/>
      <c r="P3" s="59"/>
      <c r="Q3" s="59"/>
    </row>
    <row r="4" spans="2:18" s="64" customFormat="1" ht="15" customHeight="1">
      <c r="E4" s="61"/>
      <c r="F4" s="62"/>
      <c r="G4" s="62"/>
      <c r="H4" s="62"/>
      <c r="I4" s="62"/>
      <c r="J4" s="62"/>
      <c r="K4" s="63"/>
      <c r="L4" s="62"/>
      <c r="M4" s="62"/>
      <c r="N4" s="62"/>
      <c r="O4" s="62"/>
      <c r="P4" s="62"/>
      <c r="Q4" s="62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2" customHeight="1">
      <c r="B6" s="3" t="s">
        <v>3</v>
      </c>
      <c r="D6" s="71" t="s">
        <v>99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2:18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2:18" ht="15.6" thickBot="1">
      <c r="D8" s="22" t="s">
        <v>5</v>
      </c>
      <c r="E8" s="22" t="s">
        <v>6</v>
      </c>
      <c r="F8" s="22" t="s">
        <v>4</v>
      </c>
      <c r="G8" s="22" t="s">
        <v>100</v>
      </c>
      <c r="H8" s="22" t="s">
        <v>101</v>
      </c>
      <c r="M8" s="2"/>
      <c r="N8" s="2"/>
      <c r="O8" s="2"/>
      <c r="P8" s="2"/>
    </row>
    <row r="9" spans="2:18">
      <c r="D9" s="14" t="s">
        <v>9</v>
      </c>
      <c r="E9" s="1" t="s">
        <v>10</v>
      </c>
      <c r="F9" s="52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72" t="s">
        <v>147</v>
      </c>
      <c r="E10" s="77" t="s">
        <v>10</v>
      </c>
      <c r="F10" s="78">
        <f>'1_Inputs&amp;Hyp'!F10</f>
        <v>20</v>
      </c>
      <c r="G10" s="14">
        <f>F10-H10</f>
        <v>0</v>
      </c>
      <c r="H10" s="80">
        <f>F10</f>
        <v>20</v>
      </c>
      <c r="M10" s="2"/>
      <c r="N10" s="2"/>
      <c r="O10" s="2"/>
      <c r="P10" s="2"/>
    </row>
    <row r="11" spans="2:18">
      <c r="D11" s="72" t="s">
        <v>148</v>
      </c>
      <c r="E11" s="77" t="s">
        <v>10</v>
      </c>
      <c r="F11" s="78">
        <f>'1_Inputs&amp;Hyp'!F11</f>
        <v>10</v>
      </c>
      <c r="G11" s="14">
        <f>F11-H11</f>
        <v>8</v>
      </c>
      <c r="H11" s="79">
        <v>2</v>
      </c>
      <c r="M11" s="2"/>
      <c r="N11" s="2"/>
      <c r="O11" s="2"/>
      <c r="P11" s="2"/>
    </row>
    <row r="12" spans="2:18">
      <c r="D12" s="14" t="s">
        <v>14</v>
      </c>
      <c r="E12" s="1" t="s">
        <v>10</v>
      </c>
      <c r="F12" s="52">
        <f>'1_Inputs&amp;Hyp'!F12</f>
        <v>80</v>
      </c>
      <c r="G12" s="14">
        <f>F12-H12</f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15</v>
      </c>
      <c r="E13" s="1" t="s">
        <v>10</v>
      </c>
      <c r="F13" s="52">
        <f>'1_Inputs&amp;Hyp'!F13</f>
        <v>80</v>
      </c>
      <c r="G13" s="14">
        <f>F13-H13</f>
        <v>80</v>
      </c>
      <c r="H13" s="54">
        <v>0</v>
      </c>
      <c r="M13" s="2"/>
      <c r="N13" s="2"/>
      <c r="O13" s="2"/>
      <c r="P13" s="2"/>
    </row>
    <row r="14" spans="2:18">
      <c r="D14" s="14" t="s">
        <v>102</v>
      </c>
      <c r="E14" s="1" t="s">
        <v>10</v>
      </c>
      <c r="F14" s="52">
        <f>'1_Inputs&amp;Hyp'!F14</f>
        <v>160</v>
      </c>
      <c r="G14" s="14">
        <f>F14-H14</f>
        <v>0</v>
      </c>
      <c r="H14" s="14">
        <f>F14</f>
        <v>160</v>
      </c>
      <c r="M14" s="2"/>
      <c r="N14" s="2"/>
      <c r="O14" s="2"/>
      <c r="P14" s="2"/>
    </row>
    <row r="15" spans="2:18">
      <c r="D15" s="14" t="s">
        <v>17</v>
      </c>
      <c r="E15" s="1" t="s">
        <v>10</v>
      </c>
      <c r="F15" s="83">
        <f>'1_Inputs&amp;Hyp'!F26*F43/1000</f>
        <v>362.72</v>
      </c>
      <c r="G15" s="84">
        <f>F15-H15</f>
        <v>0</v>
      </c>
      <c r="H15" s="84">
        <f>F15</f>
        <v>362.72</v>
      </c>
      <c r="M15" s="2"/>
      <c r="N15" s="2"/>
      <c r="O15" s="2"/>
      <c r="P15" s="2"/>
    </row>
    <row r="16" spans="2:18" ht="15.6" thickBot="1">
      <c r="D16" s="18" t="s">
        <v>20</v>
      </c>
      <c r="E16" s="20" t="s">
        <v>10</v>
      </c>
      <c r="F16" s="53">
        <f>'1_Inputs&amp;Hyp'!F27*F44/1000</f>
        <v>1677.6</v>
      </c>
      <c r="G16" s="18">
        <f>F16-H16</f>
        <v>0</v>
      </c>
      <c r="H16" s="18">
        <f>F16</f>
        <v>1677.6</v>
      </c>
      <c r="M16" s="2"/>
      <c r="N16" s="2"/>
      <c r="O16" s="2"/>
      <c r="P16" s="2"/>
    </row>
    <row r="17" spans="2:16" ht="15.6" thickTop="1">
      <c r="D17" s="21" t="s">
        <v>103</v>
      </c>
      <c r="E17" s="14" t="s">
        <v>10</v>
      </c>
      <c r="F17" s="14">
        <f>SUM(F9:F16)</f>
        <v>2470.3199999999997</v>
      </c>
      <c r="G17" s="14">
        <f t="shared" ref="G17:H17" si="0">SUM(G9:G16)</f>
        <v>149.16</v>
      </c>
      <c r="H17" s="14">
        <f t="shared" si="0"/>
        <v>2321.16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4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2" t="s">
        <v>5</v>
      </c>
      <c r="E20" s="22" t="s">
        <v>6</v>
      </c>
      <c r="F20" s="22" t="s">
        <v>104</v>
      </c>
      <c r="G20" s="22" t="s">
        <v>105</v>
      </c>
      <c r="H20" s="22" t="s">
        <v>106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9</v>
      </c>
      <c r="E21" s="14" t="s">
        <v>107</v>
      </c>
      <c r="F21" s="14">
        <f>'1_Inputs&amp;Hyp'!F20</f>
        <v>628</v>
      </c>
      <c r="G21" s="14">
        <f>F45</f>
        <v>30</v>
      </c>
      <c r="H21" s="14" t="s">
        <v>108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12</v>
      </c>
      <c r="E22" s="14" t="s">
        <v>109</v>
      </c>
      <c r="F22" s="14"/>
      <c r="G22" s="14"/>
      <c r="H22" s="14" t="s">
        <v>110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13</v>
      </c>
      <c r="E23" s="14" t="s">
        <v>109</v>
      </c>
      <c r="F23" s="14"/>
      <c r="G23" s="14"/>
      <c r="H23" s="14" t="s">
        <v>110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14</v>
      </c>
      <c r="E24" s="14" t="s">
        <v>109</v>
      </c>
      <c r="F24" s="14"/>
      <c r="G24" s="14"/>
      <c r="H24" s="14" t="s">
        <v>110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15</v>
      </c>
      <c r="E25" s="14" t="s">
        <v>109</v>
      </c>
      <c r="F25" s="14"/>
      <c r="G25" s="14"/>
      <c r="H25" s="14" t="s">
        <v>111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102</v>
      </c>
      <c r="E26" s="14" t="s">
        <v>109</v>
      </c>
      <c r="F26" s="14"/>
      <c r="G26" s="14"/>
      <c r="H26" s="14" t="s">
        <v>112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17</v>
      </c>
      <c r="E27" s="14" t="s">
        <v>107</v>
      </c>
      <c r="F27" s="14">
        <f>'1_Inputs&amp;Hyp'!F26</f>
        <v>4534</v>
      </c>
      <c r="G27" s="14">
        <f>F43</f>
        <v>80</v>
      </c>
      <c r="H27" s="14" t="s">
        <v>113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8" t="s">
        <v>20</v>
      </c>
      <c r="E28" s="18" t="s">
        <v>107</v>
      </c>
      <c r="F28" s="18">
        <f>'1_Inputs&amp;Hyp'!F27</f>
        <v>55920</v>
      </c>
      <c r="G28" s="18">
        <f>F44</f>
        <v>30</v>
      </c>
      <c r="H28" s="18" t="s">
        <v>113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1" t="s">
        <v>103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71" t="s">
        <v>114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7">
        <f>'1_Inputs&amp;Hyp'!F34</f>
        <v>0</v>
      </c>
      <c r="G34" s="7">
        <f>'1_Inputs&amp;Hyp'!G34</f>
        <v>5.0000000000000001E-3</v>
      </c>
      <c r="H34" s="7">
        <f>'1_Inputs&amp;Hyp'!H34</f>
        <v>0.01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7">
        <f>'1_Inputs&amp;Hyp'!F35</f>
        <v>0</v>
      </c>
      <c r="G35" s="7">
        <f>'1_Inputs&amp;Hyp'!G35</f>
        <v>5.0000000000000001E-3</v>
      </c>
      <c r="H35" s="7">
        <f>'1_Inputs&amp;Hyp'!H35</f>
        <v>0.01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7">
        <f>'1_Inputs&amp;Hyp'!F36</f>
        <v>0</v>
      </c>
      <c r="G36" s="7">
        <f>'1_Inputs&amp;Hyp'!G36</f>
        <v>5.0000000000000001E-3</v>
      </c>
      <c r="H36" s="7">
        <f>'1_Inputs&amp;Hyp'!H36</f>
        <v>0.01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7">
        <f>'1_Inputs&amp;Hyp'!F37</f>
        <v>0.02</v>
      </c>
      <c r="G37" s="7">
        <f>'1_Inputs&amp;Hyp'!G37</f>
        <v>0.04</v>
      </c>
      <c r="H37" s="7">
        <f>'1_Inputs&amp;Hyp'!H37</f>
        <v>0.06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7">
        <f>'1_Inputs&amp;Hyp'!F38</f>
        <v>0.03</v>
      </c>
      <c r="G38" s="7">
        <f>'1_Inputs&amp;Hyp'!G38</f>
        <v>0.05</v>
      </c>
      <c r="H38" s="7">
        <f>'1_Inputs&amp;Hyp'!H38</f>
        <v>7.0000000000000007E-2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7">
        <f>'1_Inputs&amp;Hyp'!F39</f>
        <v>0.02</v>
      </c>
      <c r="G39" s="7">
        <f>'1_Inputs&amp;Hyp'!G39</f>
        <v>0.04</v>
      </c>
      <c r="H39" s="7">
        <f>'1_Inputs&amp;Hyp'!H39</f>
        <v>0.06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7">
        <f>'1_Inputs&amp;Hyp'!F40</f>
        <v>0.05</v>
      </c>
      <c r="G40" s="7">
        <f>'1_Inputs&amp;Hyp'!G40</f>
        <v>0.15</v>
      </c>
      <c r="H40" s="7">
        <f>'1_Inputs&amp;Hyp'!H40</f>
        <v>0.3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7">
        <f>'1_Inputs&amp;Hyp'!F41</f>
        <v>0.1</v>
      </c>
      <c r="G41" s="7">
        <f>'1_Inputs&amp;Hyp'!G41</f>
        <v>0.25</v>
      </c>
      <c r="H41" s="7">
        <f>'1_Inputs&amp;Hyp'!H41</f>
        <v>0.45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7">
        <f>'1_Inputs&amp;Hyp'!F42</f>
        <v>0.05</v>
      </c>
      <c r="G42" s="7">
        <f>'1_Inputs&amp;Hyp'!G42</f>
        <v>0.15</v>
      </c>
      <c r="H42" s="7">
        <f>'1_Inputs&amp;Hyp'!H42</f>
        <v>0.3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115</v>
      </c>
      <c r="F43" s="17">
        <f>'1_Inputs&amp;Hyp'!F43</f>
        <v>80</v>
      </c>
      <c r="G43" s="17">
        <f>'1_Inputs&amp;Hyp'!G43</f>
        <v>80</v>
      </c>
      <c r="H43" s="17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115</v>
      </c>
      <c r="F44" s="17">
        <f>'1_Inputs&amp;Hyp'!F44</f>
        <v>30</v>
      </c>
      <c r="G44" s="17">
        <f>'1_Inputs&amp;Hyp'!G44</f>
        <v>30</v>
      </c>
      <c r="H44" s="17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115</v>
      </c>
      <c r="F45" s="17">
        <f>'1_Inputs&amp;Hyp'!F45</f>
        <v>30</v>
      </c>
      <c r="G45" s="17">
        <f>'1_Inputs&amp;Hyp'!G45</f>
        <v>30</v>
      </c>
      <c r="H45" s="17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152</v>
      </c>
      <c r="E46" s="2" t="s">
        <v>45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54</v>
      </c>
      <c r="E47" s="2" t="s">
        <v>45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55</v>
      </c>
      <c r="E48" s="2" t="s">
        <v>45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56</v>
      </c>
      <c r="E49" s="2" t="s">
        <v>45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58</v>
      </c>
      <c r="E50" s="2" t="s">
        <v>45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>
      <c r="D51" s="2" t="s">
        <v>59</v>
      </c>
      <c r="E51" s="2" t="s">
        <v>45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2" customHeight="1">
      <c r="B54" s="3" t="s">
        <v>60</v>
      </c>
      <c r="D54" s="71" t="s">
        <v>116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</row>
    <row r="55" spans="2:18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2:18" ht="16.2" customHeight="1">
      <c r="C56" s="3" t="s">
        <v>117</v>
      </c>
      <c r="D56" s="68" t="s">
        <v>118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</row>
    <row r="57" spans="2:18" ht="16.2" customHeight="1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2:18" ht="15.6" thickBot="1">
      <c r="D58" s="22" t="s">
        <v>5</v>
      </c>
      <c r="E58" s="22" t="s">
        <v>4</v>
      </c>
      <c r="F58" s="22" t="s">
        <v>119</v>
      </c>
      <c r="G58" s="22" t="s">
        <v>120</v>
      </c>
      <c r="H58" s="22" t="s">
        <v>121</v>
      </c>
      <c r="I58" s="22" t="s">
        <v>122</v>
      </c>
      <c r="J58" s="22" t="s">
        <v>123</v>
      </c>
      <c r="K58" s="22" t="s">
        <v>124</v>
      </c>
      <c r="L58" s="22" t="s">
        <v>125</v>
      </c>
      <c r="M58" s="22" t="s">
        <v>126</v>
      </c>
      <c r="N58" s="22" t="s">
        <v>127</v>
      </c>
      <c r="O58" s="22" t="s">
        <v>128</v>
      </c>
      <c r="P58" s="22" t="s">
        <v>129</v>
      </c>
    </row>
    <row r="59" spans="2:18">
      <c r="D59" s="2" t="s">
        <v>9</v>
      </c>
      <c r="E59" s="8">
        <f>F$9</f>
        <v>80</v>
      </c>
      <c r="F59" s="15">
        <f>(1+_xlfn.XLOOKUP($D$56,$F$33:$H$33,$F$34:$H$34))^9</f>
        <v>1</v>
      </c>
      <c r="G59" s="15">
        <f>(1+_xlfn.XLOOKUP($D$56,$F$33:$H$33,$F$37:$H$37))^9</f>
        <v>1.1950925686223108</v>
      </c>
      <c r="H59" s="23">
        <f>('1_Inputs&amp;Hyp'!F59/'1_Inputs&amp;Hyp'!F57)*'1_Inputs&amp;Hyp'!F62</f>
        <v>5.3215144230769225</v>
      </c>
      <c r="I59" s="8">
        <f>H$9*F59*G59+G$9*H59</f>
        <v>347.97936610822893</v>
      </c>
      <c r="J59" s="15">
        <f>_xlfn.XLOOKUP($D$56,$F$33:$H$33,$F$40:$H$40)</f>
        <v>0.05</v>
      </c>
      <c r="K59" s="8">
        <f t="shared" ref="K59:K66" si="1">I59*J59</f>
        <v>17.398968305411447</v>
      </c>
      <c r="L59" s="8">
        <f>I59+K59</f>
        <v>365.3783344136404</v>
      </c>
      <c r="M59" s="15">
        <f t="shared" ref="M59:M64" si="2">_xlfn.XLOOKUP($D$56,$F$33:$H$33,$F$46:$H$46)</f>
        <v>1</v>
      </c>
      <c r="N59" s="15">
        <f>_xlfn.XLOOKUP($D$56,$F$33:$H$33,$F$49:$H$49)</f>
        <v>0.25</v>
      </c>
      <c r="O59" s="8">
        <f>I59*M59+K59*N59</f>
        <v>352.3291081845818</v>
      </c>
      <c r="P59" s="4">
        <f>O59/1000</f>
        <v>0.3523291081845818</v>
      </c>
      <c r="R59" s="69">
        <f>O59</f>
        <v>352.3291081845818</v>
      </c>
    </row>
    <row r="60" spans="2:18">
      <c r="D60" s="2" t="s">
        <v>147</v>
      </c>
      <c r="E60" s="8">
        <f>F$10</f>
        <v>20</v>
      </c>
      <c r="F60" s="37">
        <f>(1+_xlfn.XLOOKUP($D$56,$F$33:$H$33,$F$34:$H$34))^9</f>
        <v>1</v>
      </c>
      <c r="G60" s="37">
        <f>(1+_xlfn.XLOOKUP($D$56,$F$33:$H$33,$F$37:$H$37))^9</f>
        <v>1.1950925686223108</v>
      </c>
      <c r="H60" s="30">
        <v>1</v>
      </c>
      <c r="I60" s="8">
        <f>H$10*F60*G60+G$10*H60</f>
        <v>23.901851372446217</v>
      </c>
      <c r="J60" s="37">
        <f>_xlfn.XLOOKUP($D$56,$F$33:$H$33,$F$40:$H$40)</f>
        <v>0.05</v>
      </c>
      <c r="K60" s="8">
        <f t="shared" si="1"/>
        <v>1.1950925686223108</v>
      </c>
      <c r="L60" s="8">
        <f t="shared" ref="L60:L66" si="3">I60+K60</f>
        <v>25.096943941068528</v>
      </c>
      <c r="M60" s="37">
        <f t="shared" si="2"/>
        <v>1</v>
      </c>
      <c r="N60" s="37">
        <f>_xlfn.XLOOKUP($D$56,$F$33:$H$33,$F$49:$H$49)</f>
        <v>0.25</v>
      </c>
      <c r="O60" s="8">
        <f t="shared" ref="O60:O66" si="4">I60*M60+K60*N60</f>
        <v>24.200624514601795</v>
      </c>
      <c r="P60" s="4">
        <f t="shared" ref="P60:P66" si="5">O60/1000</f>
        <v>2.4200624514601796E-2</v>
      </c>
      <c r="R60" s="70">
        <f>O60+O61+O62</f>
        <v>138.95281819054745</v>
      </c>
    </row>
    <row r="61" spans="2:18">
      <c r="D61" s="72" t="s">
        <v>148</v>
      </c>
      <c r="E61" s="75">
        <f>F$11</f>
        <v>10</v>
      </c>
      <c r="F61" s="37">
        <f>(1+_xlfn.XLOOKUP($D$56,$F$33:$H$33,$F$34:$H$34))^9</f>
        <v>1</v>
      </c>
      <c r="G61" s="37">
        <f>(1+_xlfn.XLOOKUP($D$56,$F$33:$H$33,$F$37:$H$37))^9</f>
        <v>1.1950925686223108</v>
      </c>
      <c r="H61" s="76">
        <f>(1+_xlfn.XLOOKUP(D56,'1_Inputs&amp;Hyp'!$F$72:$H$72,'1_Inputs&amp;Hyp'!$F$74:$H$74))^9</f>
        <v>1.9172386624788014</v>
      </c>
      <c r="I61" s="75">
        <f>H$11*F61*G61+G$11*H61</f>
        <v>17.728094437075033</v>
      </c>
      <c r="J61" s="37">
        <f>_xlfn.XLOOKUP($D$56,$F$33:$H$33,$F$40:$H$40)</f>
        <v>0.05</v>
      </c>
      <c r="K61" s="75">
        <f>I61*J61</f>
        <v>0.88640472185375163</v>
      </c>
      <c r="L61" s="75">
        <f t="shared" si="3"/>
        <v>18.614499158928783</v>
      </c>
      <c r="M61" s="37">
        <f t="shared" si="2"/>
        <v>1</v>
      </c>
      <c r="N61" s="37">
        <f>_xlfn.XLOOKUP($D$56,$F$33:$H$33,$F$49:$H$49)</f>
        <v>0.25</v>
      </c>
      <c r="O61" s="75">
        <f t="shared" si="4"/>
        <v>17.94969561753847</v>
      </c>
      <c r="P61" s="74">
        <f t="shared" si="5"/>
        <v>1.794969561753847E-2</v>
      </c>
      <c r="R61" s="69">
        <f>O63</f>
        <v>125.65758549425978</v>
      </c>
    </row>
    <row r="62" spans="2:18">
      <c r="D62" s="2" t="s">
        <v>14</v>
      </c>
      <c r="E62" s="8">
        <f>F$12</f>
        <v>80</v>
      </c>
      <c r="F62" s="15">
        <f>(1+_xlfn.XLOOKUP($D$56,$F$33:$H$33,$F$34:$H$34))^9</f>
        <v>1</v>
      </c>
      <c r="G62" s="15">
        <f>(1+_xlfn.XLOOKUP($D$56,$F$33:$H$33,$F$37:$H$37))^9</f>
        <v>1.1950925686223108</v>
      </c>
      <c r="H62" s="30">
        <v>1</v>
      </c>
      <c r="I62" s="8">
        <f>H$12*F62*G62+G$12*H62</f>
        <v>95.607405489784867</v>
      </c>
      <c r="J62" s="15">
        <f>_xlfn.XLOOKUP($D$56,$F$33:$H$33,$F$40:$H$40)</f>
        <v>0.05</v>
      </c>
      <c r="K62" s="8">
        <f t="shared" si="1"/>
        <v>4.7803702744892433</v>
      </c>
      <c r="L62" s="8">
        <f t="shared" si="3"/>
        <v>100.38777576427411</v>
      </c>
      <c r="M62" s="15">
        <f t="shared" si="2"/>
        <v>1</v>
      </c>
      <c r="N62" s="15">
        <f>_xlfn.XLOOKUP($D$56,$F$33:$H$33,$F$49:$H$49)</f>
        <v>0.25</v>
      </c>
      <c r="O62" s="8">
        <f t="shared" si="4"/>
        <v>96.802498058407181</v>
      </c>
      <c r="P62" s="4">
        <f t="shared" si="5"/>
        <v>9.6802498058407183E-2</v>
      </c>
      <c r="R62" s="69">
        <f t="shared" ref="R62:R64" si="6">O64</f>
        <v>192.17088503446757</v>
      </c>
    </row>
    <row r="63" spans="2:18">
      <c r="D63" s="2" t="s">
        <v>15</v>
      </c>
      <c r="E63" s="8">
        <f>F$13</f>
        <v>80</v>
      </c>
      <c r="F63" s="37">
        <f>(1+_xlfn.XLOOKUP(D56,'1_Inputs&amp;Hyp'!$F$66:$H$66,'1_Inputs&amp;Hyp'!$F$67:$H$67))^9</f>
        <v>1</v>
      </c>
      <c r="G63" s="37">
        <f>(1+_xlfn.XLOOKUP($D$56,$F$33:$H$33,$F$37:$H$37))^9</f>
        <v>1.1950925686223108</v>
      </c>
      <c r="H63" s="23">
        <f>(1+_xlfn.XLOOKUP(D56,'1_Inputs&amp;Hyp'!$F$66:$H$66,'1_Inputs&amp;Hyp'!$F$68:$H$68))^9</f>
        <v>1.5513282159785158</v>
      </c>
      <c r="I63" s="8">
        <f>H$13*F63*G63+G$13*H63</f>
        <v>124.10625727828126</v>
      </c>
      <c r="J63" s="15">
        <f>_xlfn.XLOOKUP($D$56,$F$33:$H$33,$F$40:$H$40)</f>
        <v>0.05</v>
      </c>
      <c r="K63" s="8">
        <f t="shared" si="1"/>
        <v>6.2053128639140631</v>
      </c>
      <c r="L63" s="8">
        <f t="shared" si="3"/>
        <v>130.31157014219534</v>
      </c>
      <c r="M63" s="15">
        <f t="shared" si="2"/>
        <v>1</v>
      </c>
      <c r="N63" s="15">
        <f>_xlfn.XLOOKUP($D$56,$F$33:$H$33,$F$49:$H$49)</f>
        <v>0.25</v>
      </c>
      <c r="O63" s="8">
        <f t="shared" si="4"/>
        <v>125.65758549425978</v>
      </c>
      <c r="P63" s="4">
        <f t="shared" si="5"/>
        <v>0.12565758549425979</v>
      </c>
      <c r="R63" s="69">
        <f t="shared" si="6"/>
        <v>101.75247578628688</v>
      </c>
    </row>
    <row r="64" spans="2:18">
      <c r="D64" s="2" t="s">
        <v>102</v>
      </c>
      <c r="E64" s="8">
        <f>F$14</f>
        <v>160</v>
      </c>
      <c r="F64" s="15">
        <f>(1+_xlfn.XLOOKUP($D$56,$F$33:$H$33,$F$36:$H$36))^9</f>
        <v>1</v>
      </c>
      <c r="G64" s="15">
        <f>(1+_xlfn.XLOOKUP($D$56,$F$33:$H$33,$F$39:$H$39))^9</f>
        <v>1.1950925686223108</v>
      </c>
      <c r="H64" s="30">
        <v>1</v>
      </c>
      <c r="I64" s="8">
        <f>H$14*F64*G64+G$14*H64</f>
        <v>191.21481097956973</v>
      </c>
      <c r="J64" s="15">
        <f>_xlfn.XLOOKUP($D$56,$F$33:$H$33,$F$42:$H$42)</f>
        <v>0.05</v>
      </c>
      <c r="K64" s="8">
        <f t="shared" si="1"/>
        <v>9.5607405489784867</v>
      </c>
      <c r="L64" s="8">
        <f t="shared" si="3"/>
        <v>200.77555152854822</v>
      </c>
      <c r="M64" s="15">
        <f t="shared" si="2"/>
        <v>1</v>
      </c>
      <c r="N64" s="15">
        <f>_xlfn.XLOOKUP($D$56,$F$33:$H$33,$F$51:$H$51)</f>
        <v>0.1</v>
      </c>
      <c r="O64" s="8">
        <f t="shared" si="4"/>
        <v>192.17088503446757</v>
      </c>
      <c r="P64" s="4">
        <f t="shared" si="5"/>
        <v>0.19217088503446758</v>
      </c>
      <c r="R64" s="69">
        <f t="shared" si="6"/>
        <v>210.51316577768281</v>
      </c>
    </row>
    <row r="65" spans="3:18">
      <c r="D65" s="2" t="s">
        <v>17</v>
      </c>
      <c r="E65" s="8">
        <f>F$15</f>
        <v>362.72</v>
      </c>
      <c r="F65" s="15">
        <f>(1+_xlfn.XLOOKUP($D$56,$F$33:$H$33,$F$35:$H$35))^9</f>
        <v>1</v>
      </c>
      <c r="G65" s="15">
        <f>(1+_xlfn.XLOOKUP($D$56,$F$33:$H$33,$F$38:$H$38))^9</f>
        <v>1.3047731838292445</v>
      </c>
      <c r="H65" s="30">
        <v>1</v>
      </c>
      <c r="I65" s="8">
        <f>H$15*F65*G65+G$15*H65</f>
        <v>473.2673292385436</v>
      </c>
      <c r="J65" s="15">
        <f>_xlfn.XLOOKUP($D$56,$F$33:$H$33,$F$41:$H$41)</f>
        <v>0.1</v>
      </c>
      <c r="K65" s="8">
        <f t="shared" si="1"/>
        <v>47.326732923854365</v>
      </c>
      <c r="L65" s="8">
        <f t="shared" si="3"/>
        <v>520.5940621623979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4"/>
        <v>101.75247578628688</v>
      </c>
      <c r="P65" s="4">
        <f t="shared" si="5"/>
        <v>0.10175247578628688</v>
      </c>
      <c r="R65" s="69"/>
    </row>
    <row r="66" spans="3:18">
      <c r="D66" s="2" t="s">
        <v>20</v>
      </c>
      <c r="E66" s="8">
        <f>F$16</f>
        <v>1677.6</v>
      </c>
      <c r="F66" s="15">
        <f>(1+_xlfn.XLOOKUP($D$56,$F$33:$H$33,$F$36:$H$36))^9</f>
        <v>1</v>
      </c>
      <c r="G66" s="15">
        <f>(1+_xlfn.XLOOKUP($D$56,$F$33:$H$33,$F$39:$H$39))^9</f>
        <v>1.1950925686223108</v>
      </c>
      <c r="H66" s="30">
        <v>1</v>
      </c>
      <c r="I66" s="8">
        <f>H$16*F66*G66+G$16*H66</f>
        <v>2004.8872931207886</v>
      </c>
      <c r="J66" s="15">
        <f>_xlfn.XLOOKUP($D$56,$F$33:$H$33,$F$42:$H$42)</f>
        <v>0.05</v>
      </c>
      <c r="K66" s="8">
        <f t="shared" si="1"/>
        <v>100.24436465603944</v>
      </c>
      <c r="L66" s="8">
        <f t="shared" si="3"/>
        <v>2105.131657776828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4"/>
        <v>210.51316577768281</v>
      </c>
      <c r="P66" s="4">
        <f t="shared" si="5"/>
        <v>0.21051316577768281</v>
      </c>
      <c r="R66" s="69"/>
    </row>
    <row r="67" spans="3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3:18">
      <c r="D68" s="5" t="s">
        <v>103</v>
      </c>
      <c r="E68" s="16">
        <f>SUM(E59:E66)</f>
        <v>2470.3199999999997</v>
      </c>
      <c r="F68" s="16"/>
      <c r="G68" s="16"/>
      <c r="H68" s="16"/>
      <c r="I68" s="16">
        <f>SUM(I59:I66)</f>
        <v>3278.6924080247181</v>
      </c>
      <c r="J68" s="16"/>
      <c r="K68" s="16">
        <f>SUM(K59:K66)</f>
        <v>187.5979868631631</v>
      </c>
      <c r="L68" s="16">
        <f>SUM(L59:L66)</f>
        <v>3466.2903948878811</v>
      </c>
      <c r="M68" s="16"/>
      <c r="N68" s="16"/>
      <c r="O68" s="16">
        <f>SUM(O59:O66)</f>
        <v>1121.3760384678262</v>
      </c>
      <c r="P68" s="16">
        <f>SUM(P59:P66)</f>
        <v>1.1213760384678262</v>
      </c>
    </row>
    <row r="69" spans="3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8" ht="16.2" customHeight="1">
      <c r="C71" s="3" t="s">
        <v>130</v>
      </c>
      <c r="D71" s="68" t="s">
        <v>131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</row>
    <row r="72" spans="3:18" ht="16.2" customHeight="1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3:18" ht="15.6" thickBot="1">
      <c r="D73" s="22" t="s">
        <v>5</v>
      </c>
      <c r="E73" s="22" t="s">
        <v>4</v>
      </c>
      <c r="F73" s="22" t="s">
        <v>119</v>
      </c>
      <c r="G73" s="22" t="s">
        <v>120</v>
      </c>
      <c r="H73" s="22" t="s">
        <v>121</v>
      </c>
      <c r="I73" s="22" t="s">
        <v>122</v>
      </c>
      <c r="J73" s="22" t="s">
        <v>123</v>
      </c>
      <c r="K73" s="22" t="s">
        <v>124</v>
      </c>
      <c r="L73" s="22" t="s">
        <v>125</v>
      </c>
      <c r="M73" s="22" t="s">
        <v>126</v>
      </c>
      <c r="N73" s="22" t="s">
        <v>127</v>
      </c>
      <c r="O73" s="22" t="s">
        <v>128</v>
      </c>
      <c r="P73" s="22" t="s">
        <v>129</v>
      </c>
    </row>
    <row r="74" spans="3:18">
      <c r="D74" s="2" t="s">
        <v>9</v>
      </c>
      <c r="E74" s="8">
        <f>F$9</f>
        <v>80</v>
      </c>
      <c r="F74" s="15">
        <f>(1+_xlfn.XLOOKUP($D$71,$F$33:$H$33,$F$34:$H$34))^9</f>
        <v>1.045910579145064</v>
      </c>
      <c r="G74" s="15">
        <f>(1+_xlfn.XLOOKUP($D$71,$F$33:$H$33,$F$37:$H$37))^9</f>
        <v>1.4233118124214852</v>
      </c>
      <c r="H74" s="23">
        <f>('1_Inputs&amp;Hyp'!F59/'1_Inputs&amp;Hyp'!F57)*'1_Inputs&amp;Hyp'!F62</f>
        <v>5.3215144230769225</v>
      </c>
      <c r="I74" s="8">
        <f>H$9*F74*G74+G$9*H74</f>
        <v>353.51011777290074</v>
      </c>
      <c r="J74" s="15">
        <f>_xlfn.XLOOKUP($D$71,$F$33:$H$33,$F$40:$H$40)</f>
        <v>0.15</v>
      </c>
      <c r="K74" s="8">
        <f t="shared" ref="K74:K81" si="7">I74*J74</f>
        <v>53.02651766593511</v>
      </c>
      <c r="L74" s="8">
        <f>I74+K74</f>
        <v>406.53663543883584</v>
      </c>
      <c r="M74" s="15">
        <f t="shared" ref="M74:M79" si="8">_xlfn.XLOOKUP($D$71,$F$33:$H$33,$F$46:$H$46)</f>
        <v>1</v>
      </c>
      <c r="N74" s="15">
        <f>_xlfn.XLOOKUP($D$71,$F$33:$H$33,$F$49:$H$49)</f>
        <v>0.6</v>
      </c>
      <c r="O74" s="8">
        <f>I74*M74+K74*N74</f>
        <v>385.32602837246179</v>
      </c>
      <c r="P74" s="4">
        <f>O74/1000</f>
        <v>0.38532602837246177</v>
      </c>
      <c r="R74" s="69">
        <f>O74</f>
        <v>385.32602837246179</v>
      </c>
    </row>
    <row r="75" spans="3:18">
      <c r="D75" s="2" t="s">
        <v>147</v>
      </c>
      <c r="E75" s="8">
        <f>F$10</f>
        <v>20</v>
      </c>
      <c r="F75" s="37">
        <f>(1+_xlfn.XLOOKUP($D$71,$F$33:$H$33,$F$34:$H$34))^9</f>
        <v>1.045910579145064</v>
      </c>
      <c r="G75" s="37">
        <f>(1+_xlfn.XLOOKUP($D$71,$F$33:$H$33,$F$37:$H$37))^9</f>
        <v>1.4233118124214852</v>
      </c>
      <c r="H75" s="30">
        <v>1</v>
      </c>
      <c r="I75" s="8">
        <f>H$10*F75*G75+G$10*H75</f>
        <v>29.773137640675323</v>
      </c>
      <c r="J75" s="37">
        <f>_xlfn.XLOOKUP($D$71,$F$33:$H$33,$F$40:$H$40)</f>
        <v>0.15</v>
      </c>
      <c r="K75" s="8">
        <f t="shared" si="7"/>
        <v>4.4659706461012982</v>
      </c>
      <c r="L75" s="8">
        <f t="shared" ref="L75:L81" si="9">I75+K75</f>
        <v>34.23910828677662</v>
      </c>
      <c r="M75" s="37">
        <f t="shared" si="8"/>
        <v>1</v>
      </c>
      <c r="N75" s="37">
        <f>_xlfn.XLOOKUP($D$71,$F$33:$H$33,$F$49:$H$49)</f>
        <v>0.6</v>
      </c>
      <c r="O75" s="8">
        <f t="shared" ref="O75:O81" si="10">I75*M75+K75*N75</f>
        <v>32.452720028336103</v>
      </c>
      <c r="P75" s="4">
        <f t="shared" ref="P75:P81" si="11">O75/1000</f>
        <v>3.2452720028336102E-2</v>
      </c>
      <c r="R75" s="70">
        <f>O75+O76+O77</f>
        <v>189.69011890947976</v>
      </c>
    </row>
    <row r="76" spans="3:18">
      <c r="D76" s="72" t="s">
        <v>148</v>
      </c>
      <c r="E76" s="75">
        <f>F$11</f>
        <v>10</v>
      </c>
      <c r="F76" s="37">
        <f>(1+_xlfn.XLOOKUP($D$71,$F$33:$H$33,$F$34:$H$34))^9</f>
        <v>1.045910579145064</v>
      </c>
      <c r="G76" s="37">
        <f>(1+_xlfn.XLOOKUP($D$71,$F$33:$H$33,$F$37:$H$37))^9</f>
        <v>1.4233118124214852</v>
      </c>
      <c r="H76" s="76">
        <f>(1+_xlfn.XLOOKUP(D71,'1_Inputs&amp;Hyp'!$F$72:$H$72,'1_Inputs&amp;Hyp'!$F$74:$H$74))^9</f>
        <v>2.7730787574501883</v>
      </c>
      <c r="I76" s="75">
        <f>H$11*F76*G76+G$11*H76</f>
        <v>25.161943823669038</v>
      </c>
      <c r="J76" s="37">
        <f>_xlfn.XLOOKUP($D$71,$F$33:$H$33,$F$40:$H$40)</f>
        <v>0.15</v>
      </c>
      <c r="K76" s="75">
        <f t="shared" si="7"/>
        <v>3.7742915735503555</v>
      </c>
      <c r="L76" s="75">
        <f t="shared" si="9"/>
        <v>28.936235397219392</v>
      </c>
      <c r="M76" s="37">
        <f t="shared" si="8"/>
        <v>1</v>
      </c>
      <c r="N76" s="37">
        <f>_xlfn.XLOOKUP($D$71,$F$33:$H$33,$F$49:$H$49)</f>
        <v>0.6</v>
      </c>
      <c r="O76" s="75">
        <f t="shared" si="10"/>
        <v>27.426518767799251</v>
      </c>
      <c r="P76" s="74">
        <f t="shared" si="11"/>
        <v>2.7426518767799252E-2</v>
      </c>
      <c r="R76" s="69">
        <f>O78</f>
        <v>205.61303865520011</v>
      </c>
    </row>
    <row r="77" spans="3:18">
      <c r="D77" s="2" t="s">
        <v>14</v>
      </c>
      <c r="E77" s="8">
        <f>F$12</f>
        <v>80</v>
      </c>
      <c r="F77" s="37">
        <f>(1+_xlfn.XLOOKUP($D$71,$F$33:$H$33,$F$34:$H$34))^9</f>
        <v>1.045910579145064</v>
      </c>
      <c r="G77" s="37">
        <f>(1+_xlfn.XLOOKUP($D$71,$F$33:$H$33,$F$37:$H$37))^9</f>
        <v>1.4233118124214852</v>
      </c>
      <c r="H77" s="30">
        <v>1</v>
      </c>
      <c r="I77" s="8">
        <f>H$12*F77*G77+G$12*H77</f>
        <v>119.09255056270129</v>
      </c>
      <c r="J77" s="37">
        <f>_xlfn.XLOOKUP($D$71,$F$33:$H$33,$F$40:$H$40)</f>
        <v>0.15</v>
      </c>
      <c r="K77" s="8">
        <f t="shared" si="7"/>
        <v>17.863882584405193</v>
      </c>
      <c r="L77" s="8">
        <f t="shared" si="9"/>
        <v>136.95643314710648</v>
      </c>
      <c r="M77" s="37">
        <f t="shared" si="8"/>
        <v>1</v>
      </c>
      <c r="N77" s="37">
        <f>_xlfn.XLOOKUP($D$71,$F$33:$H$33,$F$49:$H$49)</f>
        <v>0.6</v>
      </c>
      <c r="O77" s="8">
        <f t="shared" si="10"/>
        <v>129.81088011334441</v>
      </c>
      <c r="P77" s="4">
        <f t="shared" si="11"/>
        <v>0.12981088011334441</v>
      </c>
      <c r="R77" s="69">
        <f t="shared" ref="R77:R79" si="12">O79</f>
        <v>248.9034306760457</v>
      </c>
    </row>
    <row r="78" spans="3:18">
      <c r="D78" s="2" t="s">
        <v>15</v>
      </c>
      <c r="E78" s="8">
        <f>F$13</f>
        <v>80</v>
      </c>
      <c r="F78" s="37">
        <f>(1+_xlfn.XLOOKUP(D71,'1_Inputs&amp;Hyp'!$F$66:$H$66,'1_Inputs&amp;Hyp'!$F$67:$H$67))^9</f>
        <v>1.045910579145064</v>
      </c>
      <c r="G78" s="37">
        <f>(1+_xlfn.XLOOKUP($D$71,$F$33:$H$33,$F$37:$H$37))^9</f>
        <v>1.4233118124214852</v>
      </c>
      <c r="H78" s="23">
        <f>(1+_xlfn.XLOOKUP(D71,'1_Inputs&amp;Hyp'!$F$66:$H$66,'1_Inputs&amp;Hyp'!$F$68:$H$68))^9</f>
        <v>2.3579476910000015</v>
      </c>
      <c r="I78" s="8">
        <f>H$13*F78*G78+G$13*H78</f>
        <v>188.63581528000012</v>
      </c>
      <c r="J78" s="15">
        <f>_xlfn.XLOOKUP($D$71,$F$33:$H$33,$F$40:$H$40)</f>
        <v>0.15</v>
      </c>
      <c r="K78" s="8">
        <f t="shared" si="7"/>
        <v>28.295372292000017</v>
      </c>
      <c r="L78" s="8">
        <f t="shared" si="9"/>
        <v>216.93118757200014</v>
      </c>
      <c r="M78" s="15">
        <f t="shared" si="8"/>
        <v>1</v>
      </c>
      <c r="N78" s="15">
        <f>_xlfn.XLOOKUP($D$71,$F$33:$H$33,$F$49:$H$49)</f>
        <v>0.6</v>
      </c>
      <c r="O78" s="8">
        <f>I78*M78+K78*N78</f>
        <v>205.61303865520011</v>
      </c>
      <c r="P78" s="4">
        <f>O78/1000</f>
        <v>0.20561303865520011</v>
      </c>
      <c r="R78" s="69">
        <f t="shared" si="12"/>
        <v>264.83919796215275</v>
      </c>
    </row>
    <row r="79" spans="3:18">
      <c r="D79" s="2" t="s">
        <v>102</v>
      </c>
      <c r="E79" s="8">
        <f>F$14</f>
        <v>160</v>
      </c>
      <c r="F79" s="15">
        <f>(1+_xlfn.XLOOKUP($D$71,$F$33:$H$33,$F$36:$H$36))^9</f>
        <v>1.045910579145064</v>
      </c>
      <c r="G79" s="15">
        <f>(1+_xlfn.XLOOKUP($D$71,$F$33:$H$33,$F$39:$H$39))^9</f>
        <v>1.4233118124214852</v>
      </c>
      <c r="H79" s="30">
        <v>1</v>
      </c>
      <c r="I79" s="8">
        <f>H$14*F79*G79+G$14*H79</f>
        <v>238.18510112540258</v>
      </c>
      <c r="J79" s="15">
        <f>_xlfn.XLOOKUP($D$71,$F$33:$H$33,$F$42:$H$42)</f>
        <v>0.15</v>
      </c>
      <c r="K79" s="8">
        <f t="shared" si="7"/>
        <v>35.727765168810386</v>
      </c>
      <c r="L79" s="8">
        <f t="shared" si="9"/>
        <v>273.91286629421296</v>
      </c>
      <c r="M79" s="15">
        <f t="shared" si="8"/>
        <v>1</v>
      </c>
      <c r="N79" s="15">
        <f>_xlfn.XLOOKUP($D$71,$F$33:$H$33,$F$51:$H$51)</f>
        <v>0.3</v>
      </c>
      <c r="O79" s="8">
        <f t="shared" si="10"/>
        <v>248.9034306760457</v>
      </c>
      <c r="P79" s="4">
        <f t="shared" si="11"/>
        <v>0.2489034306760457</v>
      </c>
      <c r="R79" s="69">
        <f t="shared" si="12"/>
        <v>611.8558423984623</v>
      </c>
    </row>
    <row r="80" spans="3:18">
      <c r="D80" s="2" t="s">
        <v>17</v>
      </c>
      <c r="E80" s="8">
        <f>F$15</f>
        <v>362.72</v>
      </c>
      <c r="F80" s="15">
        <f>(1+_xlfn.XLOOKUP($D$71,$F$33:$H$33,$F$35:$H$35))^9</f>
        <v>1.045910579145064</v>
      </c>
      <c r="G80" s="15">
        <f>(1+_xlfn.XLOOKUP($D$71,$F$33:$H$33,$F$38:$H$38))^9</f>
        <v>1.5513282159785158</v>
      </c>
      <c r="H80" s="30">
        <v>1</v>
      </c>
      <c r="I80" s="8">
        <f>H$15*F80*G80+G$15*H80</f>
        <v>588.53155102700612</v>
      </c>
      <c r="J80" s="15">
        <f>_xlfn.XLOOKUP($D$71,$F$33:$H$33,$F$41:$H$41)</f>
        <v>0.25</v>
      </c>
      <c r="K80" s="8">
        <f t="shared" si="7"/>
        <v>147.13288775675153</v>
      </c>
      <c r="L80" s="8">
        <f t="shared" si="9"/>
        <v>735.66443878375765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0"/>
        <v>264.83919796215275</v>
      </c>
      <c r="P80" s="4">
        <f t="shared" si="11"/>
        <v>0.26483919796215277</v>
      </c>
    </row>
    <row r="81" spans="3:18">
      <c r="D81" s="2" t="s">
        <v>20</v>
      </c>
      <c r="E81" s="8">
        <f>F$16</f>
        <v>1677.6</v>
      </c>
      <c r="F81" s="15">
        <f>(1+_xlfn.XLOOKUP($D$71,$F$33:$H$33,$F$36:$H$36))^9</f>
        <v>1.045910579145064</v>
      </c>
      <c r="G81" s="15">
        <f>(1+_xlfn.XLOOKUP($D$71,$F$33:$H$33,$F$39:$H$39))^9</f>
        <v>1.4233118124214852</v>
      </c>
      <c r="H81" s="30">
        <v>1</v>
      </c>
      <c r="I81" s="8">
        <f>H$16*F81*G81+G$16*H81</f>
        <v>2497.3707852998464</v>
      </c>
      <c r="J81" s="15">
        <f>_xlfn.XLOOKUP($D$71,$F$33:$H$33,$F$42:$H$42)</f>
        <v>0.15</v>
      </c>
      <c r="K81" s="8">
        <f t="shared" si="7"/>
        <v>374.60561779497692</v>
      </c>
      <c r="L81" s="8">
        <f t="shared" si="9"/>
        <v>2871.9764030948231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0"/>
        <v>611.8558423984623</v>
      </c>
      <c r="P81" s="4">
        <f t="shared" si="11"/>
        <v>0.61185584239846225</v>
      </c>
    </row>
    <row r="82" spans="3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3:18">
      <c r="D83" s="5" t="s">
        <v>103</v>
      </c>
      <c r="E83" s="16">
        <f>SUM(E74:E81)</f>
        <v>2470.3199999999997</v>
      </c>
      <c r="F83" s="16"/>
      <c r="G83" s="16"/>
      <c r="H83" s="16"/>
      <c r="I83" s="16">
        <f>SUM(I74:I81)</f>
        <v>4040.2610025322015</v>
      </c>
      <c r="J83" s="16"/>
      <c r="K83" s="16">
        <f>SUM(K74:K81)</f>
        <v>664.8923054825309</v>
      </c>
      <c r="L83" s="16">
        <f>SUM(L74:L81)</f>
        <v>4705.1533080147328</v>
      </c>
      <c r="M83" s="16"/>
      <c r="N83" s="16"/>
      <c r="O83" s="16">
        <f>SUM(O74:O81)</f>
        <v>1906.2276569738024</v>
      </c>
      <c r="P83" s="16">
        <f>SUM(P74:P81)</f>
        <v>1.9062276569738024</v>
      </c>
    </row>
    <row r="84" spans="3:18">
      <c r="D84" s="35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3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8" ht="16.2" customHeight="1">
      <c r="C86" s="3" t="s">
        <v>132</v>
      </c>
      <c r="D86" s="68" t="s">
        <v>32</v>
      </c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</row>
    <row r="87" spans="3:18" ht="16.2" customHeight="1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3:18" ht="15.6" thickBot="1">
      <c r="D88" s="22" t="s">
        <v>5</v>
      </c>
      <c r="E88" s="22" t="s">
        <v>4</v>
      </c>
      <c r="F88" s="22" t="s">
        <v>119</v>
      </c>
      <c r="G88" s="22" t="s">
        <v>120</v>
      </c>
      <c r="H88" s="22" t="s">
        <v>121</v>
      </c>
      <c r="I88" s="22" t="s">
        <v>122</v>
      </c>
      <c r="J88" s="22" t="s">
        <v>123</v>
      </c>
      <c r="K88" s="22" t="s">
        <v>124</v>
      </c>
      <c r="L88" s="22" t="s">
        <v>125</v>
      </c>
      <c r="M88" s="22" t="s">
        <v>126</v>
      </c>
      <c r="N88" s="22" t="s">
        <v>127</v>
      </c>
      <c r="O88" s="22" t="s">
        <v>128</v>
      </c>
      <c r="P88" s="22" t="s">
        <v>129</v>
      </c>
    </row>
    <row r="89" spans="3:18">
      <c r="D89" s="2" t="s">
        <v>9</v>
      </c>
      <c r="E89" s="8">
        <f>F$9</f>
        <v>80</v>
      </c>
      <c r="F89" s="15">
        <f>(1+_xlfn.XLOOKUP($D$86,$F$33:$H$33,$F$34:$H$34))^9</f>
        <v>1.0936852726843611</v>
      </c>
      <c r="G89" s="15">
        <f>(1+_xlfn.XLOOKUP($D$86,$F$33:$H$33,$F$37:$H$37))^9</f>
        <v>1.6894789590026928</v>
      </c>
      <c r="H89" s="23">
        <f>('1_Inputs&amp;Hyp'!F59/'1_Inputs&amp;Hyp'!F57)*'1_Inputs&amp;Hyp'!F62</f>
        <v>5.3215144230769225</v>
      </c>
      <c r="I89" s="8">
        <f>H$9*F89*G89+G$9*H89</f>
        <v>360.27558765788484</v>
      </c>
      <c r="J89" s="15">
        <f>_xlfn.XLOOKUP($D$86,$F$33:$H$33,$F$40:$H$40)</f>
        <v>0.3</v>
      </c>
      <c r="K89" s="8">
        <f t="shared" ref="K89:K96" si="13">I89*J89</f>
        <v>108.08267629736545</v>
      </c>
      <c r="L89" s="8">
        <f>I89+K89</f>
        <v>468.35826395525032</v>
      </c>
      <c r="M89" s="15">
        <f t="shared" ref="M89:M94" si="14">_xlfn.XLOOKUP($D$86,$F$33:$H$33,$F$46:$H$46)</f>
        <v>1</v>
      </c>
      <c r="N89" s="15">
        <f>_xlfn.XLOOKUP($D$86,$F$33:$H$33,$F$49:$H$49)</f>
        <v>1</v>
      </c>
      <c r="O89" s="8">
        <f>I89*M89+K89*N89</f>
        <v>468.35826395525032</v>
      </c>
      <c r="P89" s="4">
        <f>O89/1000</f>
        <v>0.46835826395525032</v>
      </c>
      <c r="R89" s="69">
        <f>O89</f>
        <v>468.35826395525032</v>
      </c>
    </row>
    <row r="90" spans="3:18">
      <c r="D90" s="2" t="s">
        <v>147</v>
      </c>
      <c r="E90" s="8">
        <f>F$10</f>
        <v>20</v>
      </c>
      <c r="F90" s="37">
        <f>(1+_xlfn.XLOOKUP($D$86,$F$33:$H$33,$F$34:$H$34))^9</f>
        <v>1.0936852726843611</v>
      </c>
      <c r="G90" s="37">
        <f>(1+_xlfn.XLOOKUP($D$86,$F$33:$H$33,$F$37:$H$37))^9</f>
        <v>1.6894789590026928</v>
      </c>
      <c r="H90" s="30">
        <v>1</v>
      </c>
      <c r="I90" s="8">
        <f>H$10*F90*G90+G$10*H90</f>
        <v>36.955165119427015</v>
      </c>
      <c r="J90" s="37">
        <f>_xlfn.XLOOKUP($D$86,$F$33:$H$33,$F$40:$H$40)</f>
        <v>0.3</v>
      </c>
      <c r="K90" s="8">
        <f t="shared" si="13"/>
        <v>11.086549535828103</v>
      </c>
      <c r="L90" s="8">
        <f t="shared" ref="L90:L96" si="15">I90+K90</f>
        <v>48.04171465525512</v>
      </c>
      <c r="M90" s="37">
        <f t="shared" si="14"/>
        <v>1</v>
      </c>
      <c r="N90" s="37">
        <f>_xlfn.XLOOKUP($D$86,$F$33:$H$33,$F$49:$H$49)</f>
        <v>1</v>
      </c>
      <c r="O90" s="8">
        <f t="shared" ref="O90:O92" si="16">I90*M90+K90*N90</f>
        <v>48.04171465525512</v>
      </c>
      <c r="P90" s="4">
        <f t="shared" ref="P90:P96" si="17">O90/1000</f>
        <v>4.804171465525512E-2</v>
      </c>
      <c r="R90" s="70">
        <f>O90+O91+O92</f>
        <v>322.49878294980891</v>
      </c>
    </row>
    <row r="91" spans="3:18">
      <c r="D91" s="72" t="s">
        <v>148</v>
      </c>
      <c r="E91" s="75">
        <f>F$11</f>
        <v>10</v>
      </c>
      <c r="F91" s="37">
        <f>(1+_xlfn.XLOOKUP($D$86,$F$33:$H$33,$F$34:$H$34))^9</f>
        <v>1.0936852726843611</v>
      </c>
      <c r="G91" s="37">
        <f>(1+_xlfn.XLOOKUP($D$86,$F$33:$H$33,$F$37:$H$37))^9</f>
        <v>1.6894789590026928</v>
      </c>
      <c r="H91" s="76">
        <f>(1+_xlfn.XLOOKUP(D86,'1_Inputs&amp;Hyp'!$F$72:$H$72,'1_Inputs&amp;Hyp'!$F$74:$H$74))^9</f>
        <v>7.4505805969238281</v>
      </c>
      <c r="I91" s="75">
        <f>H$11*F91*G91+G$11*H91</f>
        <v>63.300161287333324</v>
      </c>
      <c r="J91" s="37">
        <f>_xlfn.XLOOKUP($D$86,$F$33:$H$33,$F$40:$H$40)</f>
        <v>0.3</v>
      </c>
      <c r="K91" s="75">
        <f t="shared" si="13"/>
        <v>18.990048386199998</v>
      </c>
      <c r="L91" s="75">
        <f t="shared" si="15"/>
        <v>82.290209673533326</v>
      </c>
      <c r="M91" s="37">
        <f t="shared" si="14"/>
        <v>1</v>
      </c>
      <c r="N91" s="37">
        <f>_xlfn.XLOOKUP($D$86,$F$33:$H$33,$F$49:$H$49)</f>
        <v>1</v>
      </c>
      <c r="O91" s="75">
        <f t="shared" si="16"/>
        <v>82.290209673533326</v>
      </c>
      <c r="P91" s="74">
        <f t="shared" si="17"/>
        <v>8.2290209673533329E-2</v>
      </c>
      <c r="R91" s="69">
        <f>O93</f>
        <v>536.61715660799996</v>
      </c>
    </row>
    <row r="92" spans="3:18">
      <c r="D92" s="2" t="s">
        <v>14</v>
      </c>
      <c r="E92" s="8">
        <f>F$12</f>
        <v>80</v>
      </c>
      <c r="F92" s="15">
        <f>(1+_xlfn.XLOOKUP($D$86,$F$33:$H$33,$F$34:$H$34))^9</f>
        <v>1.0936852726843611</v>
      </c>
      <c r="G92" s="15">
        <f>(1+_xlfn.XLOOKUP($D$86,$F$33:$H$33,$F$37:$H$37))^9</f>
        <v>1.6894789590026928</v>
      </c>
      <c r="H92" s="30">
        <v>1</v>
      </c>
      <c r="I92" s="8">
        <f>H$12*F92*G92+G$12*H92</f>
        <v>147.82066047770806</v>
      </c>
      <c r="J92" s="15">
        <f>_xlfn.XLOOKUP($D$86,$F$33:$H$33,$F$40:$H$40)</f>
        <v>0.3</v>
      </c>
      <c r="K92" s="8">
        <f t="shared" si="13"/>
        <v>44.346198143312414</v>
      </c>
      <c r="L92" s="8">
        <f t="shared" si="15"/>
        <v>192.16685862102048</v>
      </c>
      <c r="M92" s="15">
        <f t="shared" si="14"/>
        <v>1</v>
      </c>
      <c r="N92" s="15">
        <f>_xlfn.XLOOKUP($D$86,$F$33:$H$33,$F$49:$H$49)</f>
        <v>1</v>
      </c>
      <c r="O92" s="8">
        <f t="shared" si="16"/>
        <v>192.16685862102048</v>
      </c>
      <c r="P92" s="4">
        <f t="shared" si="17"/>
        <v>0.19216685862102048</v>
      </c>
      <c r="R92" s="69">
        <f t="shared" ref="R92:R94" si="18">O94</f>
        <v>348.85675872739102</v>
      </c>
    </row>
    <row r="93" spans="3:18">
      <c r="D93" s="2" t="s">
        <v>15</v>
      </c>
      <c r="E93" s="8">
        <f>F$13</f>
        <v>80</v>
      </c>
      <c r="F93" s="37">
        <f>(1+_xlfn.XLOOKUP(D86,'1_Inputs&amp;Hyp'!$F$66:$H$66,'1_Inputs&amp;Hyp'!$F$67:$H$67))^9</f>
        <v>1.0936852726843611</v>
      </c>
      <c r="G93" s="37">
        <f>(1+_xlfn.XLOOKUP($D$86,$F$33:$H$33,$F$37:$H$37))^9</f>
        <v>1.6894789590026928</v>
      </c>
      <c r="H93" s="23">
        <f>(1+_xlfn.XLOOKUP(D86,'1_Inputs&amp;Hyp'!$F$66:$H$66,'1_Inputs&amp;Hyp'!$F$68:$H$68))^9</f>
        <v>5.1597803519999994</v>
      </c>
      <c r="I93" s="8">
        <f>H$13*F93*G93+G$13*H93</f>
        <v>412.78242815999994</v>
      </c>
      <c r="J93" s="15">
        <f>_xlfn.XLOOKUP($D$86,$F$33:$H$33,$F$40:$H$40)</f>
        <v>0.3</v>
      </c>
      <c r="K93" s="8">
        <f t="shared" si="13"/>
        <v>123.83472844799998</v>
      </c>
      <c r="L93" s="8">
        <f t="shared" si="15"/>
        <v>536.61715660799996</v>
      </c>
      <c r="M93" s="15">
        <f t="shared" si="14"/>
        <v>1</v>
      </c>
      <c r="N93" s="15">
        <f>_xlfn.XLOOKUP($D$86,$F$33:$H$33,$F$49:$H$49)</f>
        <v>1</v>
      </c>
      <c r="O93" s="8">
        <f>I93*M93+K93*N93</f>
        <v>536.61715660799996</v>
      </c>
      <c r="P93" s="4">
        <f>O93/1000</f>
        <v>0.53661715660799991</v>
      </c>
      <c r="R93" s="69">
        <f t="shared" si="18"/>
        <v>610.80513811682101</v>
      </c>
    </row>
    <row r="94" spans="3:18">
      <c r="D94" s="2" t="s">
        <v>102</v>
      </c>
      <c r="E94" s="8">
        <f>F$14</f>
        <v>160</v>
      </c>
      <c r="F94" s="15">
        <f>(1+_xlfn.XLOOKUP($D$86,$F$33:$H$33,$F$36:$H$36))^9</f>
        <v>1.0936852726843611</v>
      </c>
      <c r="G94" s="15">
        <f>(1+_xlfn.XLOOKUP($D$86,$F$33:$H$33,$F$39:$H$39))^9</f>
        <v>1.6894789590026928</v>
      </c>
      <c r="H94" s="30">
        <v>1</v>
      </c>
      <c r="I94" s="8">
        <f>H$14*F94*G94+G$14*H94</f>
        <v>295.64132095541612</v>
      </c>
      <c r="J94" s="15">
        <f>_xlfn.XLOOKUP($D$86,$F$33:$H$33,$F$42:$H$42)</f>
        <v>0.3</v>
      </c>
      <c r="K94" s="8">
        <f t="shared" si="13"/>
        <v>88.692396286624827</v>
      </c>
      <c r="L94" s="8">
        <f t="shared" si="15"/>
        <v>384.33371724204096</v>
      </c>
      <c r="M94" s="15">
        <f t="shared" si="14"/>
        <v>1</v>
      </c>
      <c r="N94" s="15">
        <f>_xlfn.XLOOKUP($D$86,$F$33:$H$33,$F$51:$H$51)</f>
        <v>0.6</v>
      </c>
      <c r="O94" s="8">
        <f t="shared" ref="O94:O96" si="19">I94*M94+K94*N94</f>
        <v>348.85675872739102</v>
      </c>
      <c r="P94" s="4">
        <f t="shared" si="17"/>
        <v>0.34885675872739103</v>
      </c>
      <c r="R94" s="69">
        <f t="shared" si="18"/>
        <v>1642.8936026152946</v>
      </c>
    </row>
    <row r="95" spans="3:18">
      <c r="D95" s="2" t="s">
        <v>17</v>
      </c>
      <c r="E95" s="8">
        <f>F$15</f>
        <v>362.72</v>
      </c>
      <c r="F95" s="15">
        <f>(1+_xlfn.XLOOKUP($D$86,$F$33:$H$33,$F$35:$H$35))^9</f>
        <v>1.0936852726843611</v>
      </c>
      <c r="G95" s="15">
        <f>(1+_xlfn.XLOOKUP($D$86,$F$33:$H$33,$F$38:$H$38))^9</f>
        <v>1.8384592124201549</v>
      </c>
      <c r="H95" s="30">
        <v>1</v>
      </c>
      <c r="I95" s="8">
        <f>H$15*F95*G95+G$15*H95</f>
        <v>729.31956790068182</v>
      </c>
      <c r="J95" s="15">
        <f>_xlfn.XLOOKUP($D$86,$F$33:$H$33,$F$41:$H$41)</f>
        <v>0.45</v>
      </c>
      <c r="K95" s="8">
        <f t="shared" si="13"/>
        <v>328.19380555530682</v>
      </c>
      <c r="L95" s="8">
        <f t="shared" si="15"/>
        <v>1057.5133734559886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610.80513811682101</v>
      </c>
      <c r="P95" s="4">
        <f t="shared" si="17"/>
        <v>0.61080513811682102</v>
      </c>
    </row>
    <row r="96" spans="3:18">
      <c r="D96" s="2" t="s">
        <v>20</v>
      </c>
      <c r="E96" s="8">
        <f>F$16</f>
        <v>1677.6</v>
      </c>
      <c r="F96" s="15">
        <f>(1+_xlfn.XLOOKUP($D$86,$F$33:$H$33,$F$36:$H$36))^9</f>
        <v>1.0936852726843611</v>
      </c>
      <c r="G96" s="15">
        <f>(1+_xlfn.XLOOKUP($D$86,$F$33:$H$33,$F$39:$H$39))^9</f>
        <v>1.6894789590026928</v>
      </c>
      <c r="H96" s="30">
        <v>1</v>
      </c>
      <c r="I96" s="8">
        <f>H$16*F96*G96+G$16*H96</f>
        <v>3099.7992502175375</v>
      </c>
      <c r="J96" s="15">
        <f>_xlfn.XLOOKUP($D$86,$F$33:$H$33,$F$42:$H$42)</f>
        <v>0.3</v>
      </c>
      <c r="K96" s="8">
        <f t="shared" si="13"/>
        <v>929.93977506526119</v>
      </c>
      <c r="L96" s="8">
        <f t="shared" si="15"/>
        <v>4029.7390252827986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19"/>
        <v>1642.8936026152946</v>
      </c>
      <c r="P96" s="4">
        <f t="shared" si="17"/>
        <v>1.6428936026152947</v>
      </c>
    </row>
    <row r="97" spans="4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4:16">
      <c r="D98" s="5" t="s">
        <v>103</v>
      </c>
      <c r="E98" s="16">
        <f>SUM(E89:E96)</f>
        <v>2470.3199999999997</v>
      </c>
      <c r="F98" s="16"/>
      <c r="G98" s="16"/>
      <c r="H98" s="16"/>
      <c r="I98" s="16">
        <f>SUM(I89:I96)</f>
        <v>5145.8941417759888</v>
      </c>
      <c r="J98" s="16"/>
      <c r="K98" s="16">
        <f>SUM(K89:K96)</f>
        <v>1653.1661777178988</v>
      </c>
      <c r="L98" s="16">
        <f>SUM(L89:L96)</f>
        <v>6799.0603194938867</v>
      </c>
      <c r="M98" s="16"/>
      <c r="N98" s="16"/>
      <c r="O98" s="16">
        <f>SUM(O89:O96)</f>
        <v>3930.0297029725657</v>
      </c>
      <c r="P98" s="16">
        <f>SUM(P89:P96)</f>
        <v>3.9300297029725657</v>
      </c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8"/>
  <sheetViews>
    <sheetView tabSelected="1" zoomScale="85" zoomScaleNormal="85" workbookViewId="0">
      <selection activeCell="F36" sqref="F36"/>
    </sheetView>
  </sheetViews>
  <sheetFormatPr defaultColWidth="8.69921875" defaultRowHeight="15"/>
  <cols>
    <col min="1" max="1" width="8.69921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69921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6" t="s">
        <v>133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2:14">
      <c r="B3" s="67" t="s">
        <v>134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2" customHeight="1">
      <c r="B5" s="3" t="s">
        <v>135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2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ht="15.6" thickBot="1">
      <c r="B7" s="22" t="s">
        <v>136</v>
      </c>
      <c r="C7" s="22" t="s">
        <v>137</v>
      </c>
      <c r="D7" s="22" t="s">
        <v>138</v>
      </c>
      <c r="E7" s="22" t="s">
        <v>139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140</v>
      </c>
      <c r="C8" s="4">
        <f>'2_Calculs'!$F$17/10^3</f>
        <v>2.4703199999999996</v>
      </c>
      <c r="D8" s="4">
        <f>'2_Calculs'!$F$17/10^3</f>
        <v>2.4703199999999996</v>
      </c>
      <c r="E8" s="4">
        <f>'2_Calculs'!$F$17/10^3</f>
        <v>2.4703199999999996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141</v>
      </c>
      <c r="C9" s="4">
        <f>'2_Calculs'!L68/10^3</f>
        <v>3.4662903948878809</v>
      </c>
      <c r="D9" s="4">
        <f>'2_Calculs'!L83/10^3</f>
        <v>4.705153308014733</v>
      </c>
      <c r="E9" s="4">
        <f>'2_Calculs'!L98/10^3</f>
        <v>6.7990603194938863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4" t="s">
        <v>142</v>
      </c>
      <c r="C10" s="34">
        <f>'2_Calculs'!P68</f>
        <v>1.1213760384678262</v>
      </c>
      <c r="D10" s="34">
        <f>'2_Calculs'!P83</f>
        <v>1.9062276569738024</v>
      </c>
      <c r="E10" s="34">
        <f>'2_Calculs'!P98</f>
        <v>3.9300297029725657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1" t="s">
        <v>143</v>
      </c>
      <c r="C12" s="33">
        <f>C10/C9</f>
        <v>0.32350897089339153</v>
      </c>
      <c r="D12" s="33">
        <f t="shared" ref="D12:E12" si="0">D10/D9</f>
        <v>0.40513614162725459</v>
      </c>
      <c r="E12" s="33">
        <f t="shared" si="0"/>
        <v>0.57802542091068143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1" t="s">
        <v>144</v>
      </c>
      <c r="C13" s="32">
        <f>C9/C8</f>
        <v>1.4031746473687139</v>
      </c>
      <c r="D13" s="32">
        <f t="shared" ref="D13:E13" si="1">D9/D8</f>
        <v>1.9046736082834343</v>
      </c>
      <c r="E13" s="32">
        <f t="shared" si="1"/>
        <v>2.752299426590032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2" customHeight="1">
      <c r="B16" s="71" t="s">
        <v>145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</row>
    <row r="17" spans="2:14" ht="16.2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5.6" thickBot="1">
      <c r="B18" s="22" t="s">
        <v>5</v>
      </c>
      <c r="C18" s="22" t="s">
        <v>137</v>
      </c>
      <c r="D18" s="22" t="s">
        <v>138</v>
      </c>
      <c r="E18" s="22" t="s">
        <v>139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9</v>
      </c>
      <c r="C19" s="4">
        <f>'2_Calculs'!P59</f>
        <v>0.3523291081845818</v>
      </c>
      <c r="D19" s="4">
        <f>'2_Calculs'!P74</f>
        <v>0.38532602837246177</v>
      </c>
      <c r="E19" s="4">
        <f>'2_Calculs'!P89</f>
        <v>0.46835826395525032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147</v>
      </c>
      <c r="C20" s="4">
        <f>'2_Calculs'!P60</f>
        <v>2.4200624514601796E-2</v>
      </c>
      <c r="D20" s="4">
        <f>'2_Calculs'!P75</f>
        <v>3.2452720028336102E-2</v>
      </c>
      <c r="E20" s="4">
        <f>'2_Calculs'!P90</f>
        <v>4.804171465525512E-2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72" t="s">
        <v>148</v>
      </c>
      <c r="C21" s="74">
        <f>'2_Calculs'!P61</f>
        <v>1.794969561753847E-2</v>
      </c>
      <c r="D21" s="74">
        <f>'2_Calculs'!P76</f>
        <v>2.7426518767799252E-2</v>
      </c>
      <c r="E21" s="74">
        <f>'2_Calculs'!P91</f>
        <v>8.2290209673533329E-2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14</v>
      </c>
      <c r="C22" s="4">
        <f>'2_Calculs'!P62</f>
        <v>9.6802498058407183E-2</v>
      </c>
      <c r="D22" s="4">
        <f>'2_Calculs'!P77</f>
        <v>0.12981088011334441</v>
      </c>
      <c r="E22" s="4">
        <f>'2_Calculs'!P92</f>
        <v>0.19216685862102048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15</v>
      </c>
      <c r="C23" s="4">
        <f>'2_Calculs'!P63</f>
        <v>0.12565758549425979</v>
      </c>
      <c r="D23" s="4">
        <f>'2_Calculs'!P78</f>
        <v>0.20561303865520011</v>
      </c>
      <c r="E23" s="4">
        <f>'2_Calculs'!P93</f>
        <v>0.53661715660799991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102</v>
      </c>
      <c r="C24" s="4">
        <f>'2_Calculs'!P64</f>
        <v>0.19217088503446758</v>
      </c>
      <c r="D24" s="4">
        <f>'2_Calculs'!P79</f>
        <v>0.2489034306760457</v>
      </c>
      <c r="E24" s="4">
        <f>'2_Calculs'!P94</f>
        <v>0.34885675872739103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2" t="s">
        <v>17</v>
      </c>
      <c r="C25" s="4">
        <f>'2_Calculs'!P65</f>
        <v>0.10175247578628688</v>
      </c>
      <c r="D25" s="4">
        <f>'2_Calculs'!P80</f>
        <v>0.26483919796215277</v>
      </c>
      <c r="E25" s="4">
        <f>'2_Calculs'!P95</f>
        <v>0.61080513811682102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2" t="s">
        <v>20</v>
      </c>
      <c r="C26" s="4">
        <f>'2_Calculs'!P66</f>
        <v>0.21051316577768281</v>
      </c>
      <c r="D26" s="4">
        <f>'2_Calculs'!P81</f>
        <v>0.61185584239846225</v>
      </c>
      <c r="E26" s="4">
        <f>'2_Calculs'!P96</f>
        <v>1.6428936026152947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5" t="s">
        <v>103</v>
      </c>
      <c r="C27" s="6">
        <f>SUM(C19:C26)</f>
        <v>1.1213760384678262</v>
      </c>
      <c r="D27" s="6">
        <f>SUM(D19:D26)</f>
        <v>1.9062276569738024</v>
      </c>
      <c r="E27" s="6">
        <f>SUM(E19:E26)</f>
        <v>3.9300297029725657</v>
      </c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38" t="s">
        <v>146</v>
      </c>
      <c r="C28" s="38" t="b">
        <f>C27=C10</f>
        <v>1</v>
      </c>
      <c r="D28" s="38" t="b">
        <f t="shared" ref="D28:E28" si="2">D27=D10</f>
        <v>1</v>
      </c>
      <c r="E28" s="38" t="b">
        <f t="shared" si="2"/>
        <v>1</v>
      </c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A066FCD1E3F438488297A6C42CAF9" ma:contentTypeVersion="4" ma:contentTypeDescription="Create a new document." ma:contentTypeScope="" ma:versionID="4ae0ce287ee18dd46314e40e6b0c436f">
  <xsd:schema xmlns:xsd="http://www.w3.org/2001/XMLSchema" xmlns:xs="http://www.w3.org/2001/XMLSchema" xmlns:p="http://schemas.microsoft.com/office/2006/metadata/properties" xmlns:ns2="c8e751d2-3d37-4167-80fa-a7ac4017bdce" targetNamespace="http://schemas.microsoft.com/office/2006/metadata/properties" ma:root="true" ma:fieldsID="3192de281dd5cec62b6f582edbf76bcb" ns2:_="">
    <xsd:import namespace="c8e751d2-3d37-4167-80fa-a7ac4017b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51d2-3d37-4167-80fa-a7ac401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11" nillable="true" ma:displayName="Translated Language" ma:internalName="TranslatedLang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8e751d2-3d37-4167-80fa-a7ac4017bd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B76CD7-AEB7-447C-BD86-9BCCA38C0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51d2-3d37-4167-80fa-a7ac4017b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44C341-AD09-48CF-A9D3-1481B5BEA8A2}">
  <ds:schemaRefs>
    <ds:schemaRef ds:uri="http://schemas.microsoft.com/office/2006/metadata/properties"/>
    <ds:schemaRef ds:uri="http://schemas.microsoft.com/office/infopath/2007/PartnerControls"/>
    <ds:schemaRef ds:uri="c8e751d2-3d37-4167-80fa-a7ac4017bdce"/>
  </ds:schemaRefs>
</ds:datastoreItem>
</file>

<file path=customXml/itemProps3.xml><?xml version="1.0" encoding="utf-8"?>
<ds:datastoreItem xmlns:ds="http://schemas.openxmlformats.org/officeDocument/2006/customXml" ds:itemID="{D5EFFB68-C21E-4BD7-B2CB-20E039E408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1_Inputs&amp;Hyp</vt:lpstr>
      <vt:lpstr>2_Calculs</vt:lpstr>
      <vt:lpstr>3_Output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Leveilley, Victoire</dc:creator>
  <cp:keywords/>
  <dc:description/>
  <cp:lastModifiedBy>Thivard, Theo</cp:lastModifiedBy>
  <cp:revision/>
  <dcterms:created xsi:type="dcterms:W3CDTF">2026-09-29T11:24:40Z</dcterms:created>
  <dcterms:modified xsi:type="dcterms:W3CDTF">2026-10-05T16:44:22Z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  <property fmtid="{D5CDD505-2E9C-101B-9397-08002B2CF9AE}" pid="10" name="ContentTypeId">
    <vt:lpwstr>0x010100E67A066FCD1E3F438488297A6C42CAF9</vt:lpwstr>
  </property>
</Properties>
</file>